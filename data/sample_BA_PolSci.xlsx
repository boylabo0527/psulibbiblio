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defaultThemeVersion="166925"/>
  <mc:AlternateContent xmlns:mc="http://schemas.openxmlformats.org/markup-compatibility/2006">
    <mc:Choice Requires="x15">
      <x15ac:absPath xmlns:x15ac="http://schemas.microsoft.com/office/spreadsheetml/2010/11/ac" url="/Users/cbnalica/Downloads/"/>
    </mc:Choice>
  </mc:AlternateContent>
  <xr:revisionPtr revIDLastSave="0" documentId="13_ncr:1_{3ECD5B24-00A9-9F4E-9F57-F50562FC11A9}" xr6:coauthVersionLast="47" xr6:coauthVersionMax="47" xr10:uidLastSave="{00000000-0000-0000-0000-000000000000}"/>
  <bookViews>
    <workbookView xWindow="0" yWindow="600" windowWidth="20740" windowHeight="11040" xr2:uid="{E84941ED-AB0C-4934-ADF4-6B5E39AF68D6}"/>
  </bookViews>
  <sheets>
    <sheet name="sum" sheetId="2" r:id="rId1"/>
    <sheet name="Sheet1" sheetId="10" r:id="rId2"/>
  </sheets>
  <definedNames>
    <definedName name="_xlnm.Print_Area" localSheetId="0">sum!$A$1:$G$45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D38" i="2" l="1"/>
  <c r="E38" i="2"/>
  <c r="C38" i="2"/>
  <c r="G14" i="2"/>
  <c r="G15" i="2"/>
  <c r="G16" i="2"/>
  <c r="G17" i="2"/>
  <c r="G18" i="2"/>
  <c r="G19" i="2"/>
  <c r="G20" i="2"/>
  <c r="G21" i="2"/>
  <c r="G22" i="2"/>
  <c r="G23" i="2"/>
  <c r="G24" i="2"/>
  <c r="G25" i="2"/>
  <c r="G26" i="2"/>
  <c r="G27" i="2"/>
  <c r="G28" i="2"/>
  <c r="G29" i="2"/>
  <c r="G30" i="2"/>
  <c r="G31" i="2"/>
  <c r="G32" i="2"/>
  <c r="G33" i="2"/>
  <c r="G34" i="2"/>
  <c r="G35" i="2"/>
  <c r="G36" i="2"/>
  <c r="G37" i="2"/>
  <c r="G13" i="2"/>
  <c r="F14" i="2"/>
  <c r="F15" i="2"/>
  <c r="F16" i="2"/>
  <c r="F17" i="2"/>
  <c r="F18" i="2"/>
  <c r="F19" i="2"/>
  <c r="F20" i="2"/>
  <c r="F21" i="2"/>
  <c r="F22" i="2"/>
  <c r="F23" i="2"/>
  <c r="F24" i="2"/>
  <c r="F25" i="2"/>
  <c r="F26" i="2"/>
  <c r="F27" i="2"/>
  <c r="F28" i="2"/>
  <c r="F29" i="2"/>
  <c r="F30" i="2"/>
  <c r="F31" i="2"/>
  <c r="F32" i="2"/>
  <c r="F33" i="2"/>
  <c r="F34" i="2"/>
  <c r="F35" i="2"/>
  <c r="F36" i="2"/>
  <c r="F37" i="2"/>
  <c r="F13" i="2"/>
  <c r="F38" i="2" l="1"/>
  <c r="G38" i="2"/>
  <c r="E335" i="10"/>
  <c r="E334" i="10"/>
  <c r="E317" i="10"/>
  <c r="E316" i="10"/>
  <c r="E308" i="10"/>
  <c r="E307" i="10"/>
  <c r="E297" i="10"/>
  <c r="E296" i="10"/>
  <c r="E287" i="10"/>
  <c r="E286" i="10"/>
  <c r="E266" i="10"/>
  <c r="E265" i="10"/>
  <c r="E256" i="10"/>
  <c r="E255" i="10"/>
  <c r="E230" i="10"/>
  <c r="E229" i="10"/>
  <c r="E175" i="10"/>
  <c r="E174" i="10"/>
  <c r="E166" i="10"/>
  <c r="E165" i="10"/>
  <c r="E156" i="10"/>
  <c r="E155" i="10"/>
  <c r="E138" i="10"/>
  <c r="E137" i="10"/>
  <c r="E121" i="10"/>
  <c r="E120" i="10"/>
  <c r="E39" i="10"/>
  <c r="E38" i="10"/>
  <c r="E27" i="10"/>
  <c r="E26" i="10"/>
</calcChain>
</file>

<file path=xl/sharedStrings.xml><?xml version="1.0" encoding="utf-8"?>
<sst xmlns="http://schemas.openxmlformats.org/spreadsheetml/2006/main" count="702" uniqueCount="435">
  <si>
    <t>PALAWAN STATE UNIVERSITY</t>
  </si>
  <si>
    <t>BS POLITICAL SCIENCE</t>
  </si>
  <si>
    <t>Printed Books</t>
  </si>
  <si>
    <t>PSM 1</t>
  </si>
  <si>
    <t>Fundamentals of Political Science</t>
  </si>
  <si>
    <t>Call No.</t>
  </si>
  <si>
    <t>Title</t>
  </si>
  <si>
    <t>Copy</t>
  </si>
  <si>
    <t>Titles</t>
  </si>
  <si>
    <t>Volumes</t>
  </si>
  <si>
    <t>PSM 2</t>
  </si>
  <si>
    <t>Introduction to Philippine Politics and Governance</t>
  </si>
  <si>
    <t>PSIE 1</t>
  </si>
  <si>
    <t>Philippine Economic Development</t>
  </si>
  <si>
    <t>PSM 3</t>
  </si>
  <si>
    <t>Philippine Public Administration</t>
  </si>
  <si>
    <t>PSM 4</t>
  </si>
  <si>
    <t>Introduction to Comparative Politics and Governance</t>
  </si>
  <si>
    <t>PSE 1</t>
  </si>
  <si>
    <t>Political Parties, Movements and Interest Groups</t>
  </si>
  <si>
    <t>PSE 2</t>
  </si>
  <si>
    <t>American Government and Politics</t>
  </si>
  <si>
    <t>PSM 5</t>
  </si>
  <si>
    <t>Introduction to Political Theory</t>
  </si>
  <si>
    <t>PSIE 2</t>
  </si>
  <si>
    <t>Philippine Political Thought</t>
  </si>
  <si>
    <t>PSIE 3</t>
  </si>
  <si>
    <t xml:space="preserve"> Asian Political Thought</t>
  </si>
  <si>
    <t>PSIE 4</t>
  </si>
  <si>
    <t>Political Economy</t>
  </si>
  <si>
    <t>PSIE 5</t>
  </si>
  <si>
    <t>Statistical Methods of Political Science</t>
  </si>
  <si>
    <t>PSM 7</t>
  </si>
  <si>
    <t>Introduction to International Relations</t>
  </si>
  <si>
    <t>PSE 3</t>
  </si>
  <si>
    <t>European Government and Politics</t>
  </si>
  <si>
    <t>PSE 4</t>
  </si>
  <si>
    <t>Special Topics in Philippine Government and Politics</t>
  </si>
  <si>
    <t>PSE 5</t>
  </si>
  <si>
    <t>Geopolitics</t>
  </si>
  <si>
    <t>Qualitative and Quantitative Analysis of Political Data</t>
  </si>
  <si>
    <t>PSE 6</t>
  </si>
  <si>
    <t>Philippine  Local Government</t>
  </si>
  <si>
    <t xml:space="preserve"> </t>
  </si>
  <si>
    <t>PSM 10</t>
  </si>
  <si>
    <t>Practicum in Political Science</t>
  </si>
  <si>
    <t>PSIE 6</t>
  </si>
  <si>
    <t>Public Fiscal Administration</t>
  </si>
  <si>
    <t>PSIE 7</t>
  </si>
  <si>
    <t>Seminar in Local Governance</t>
  </si>
  <si>
    <t>Prepared:</t>
  </si>
  <si>
    <t>BA Political Science</t>
  </si>
  <si>
    <t>Professional Books</t>
  </si>
  <si>
    <t>Professional Subject</t>
  </si>
  <si>
    <t xml:space="preserve">Total </t>
  </si>
  <si>
    <t xml:space="preserve">Introduction to Philippine Politics and Governance </t>
  </si>
  <si>
    <t>Introduction to Comparative  &amp; Governance</t>
  </si>
  <si>
    <t>Political Parties, Movements &amp; Interest Groups</t>
  </si>
  <si>
    <t>American Government &amp; Politics</t>
  </si>
  <si>
    <t>Asian Political Thought</t>
  </si>
  <si>
    <t>Philippine Local Government</t>
  </si>
  <si>
    <t>TOTAL</t>
  </si>
  <si>
    <t xml:space="preserve">SW 11 </t>
  </si>
  <si>
    <t>The Foundation of Social Work Profession</t>
  </si>
  <si>
    <t>SW 12</t>
  </si>
  <si>
    <t>Philippine Social Realities &amp; Social Welfare</t>
  </si>
  <si>
    <t>SW 13</t>
  </si>
  <si>
    <t>Filipino Personality &amp; Social Work</t>
  </si>
  <si>
    <t xml:space="preserve">SW 21 </t>
  </si>
  <si>
    <t>The Fields of Social Work</t>
  </si>
  <si>
    <t>SW 22</t>
  </si>
  <si>
    <t>Social Environment and Social Work</t>
  </si>
  <si>
    <t>SW 23</t>
  </si>
  <si>
    <t>Social Deviation and Social Work</t>
  </si>
  <si>
    <t xml:space="preserve">SW 24  </t>
  </si>
  <si>
    <t>Social Change and Development Perspective</t>
  </si>
  <si>
    <t>SW 28</t>
  </si>
  <si>
    <t>Social Work Communication and Documentation</t>
  </si>
  <si>
    <t>SW 25</t>
  </si>
  <si>
    <t>Social Welfare Policies, Programs and Services</t>
  </si>
  <si>
    <t>SW 26</t>
  </si>
  <si>
    <t>Social Work Helping Process with Social Work Counseling</t>
  </si>
  <si>
    <t>SW 32</t>
  </si>
  <si>
    <t>Social Work Statistics</t>
  </si>
  <si>
    <t xml:space="preserve">SW 33 </t>
  </si>
  <si>
    <t>Social Work Practice with Individuals and Families</t>
  </si>
  <si>
    <t>SW 34</t>
  </si>
  <si>
    <t xml:space="preserve"> Social Work Practice w/ Groups</t>
  </si>
  <si>
    <t>SW 35</t>
  </si>
  <si>
    <t>Social Welfare Project/Program Development</t>
  </si>
  <si>
    <t>SW 39</t>
  </si>
  <si>
    <t>Social Work Research 1</t>
  </si>
  <si>
    <t>SW 38</t>
  </si>
  <si>
    <t>Social Welfare Agency Administration</t>
  </si>
  <si>
    <t>SW 37</t>
  </si>
  <si>
    <t>Social Work Practice with Communities</t>
  </si>
  <si>
    <t>SW 36</t>
  </si>
  <si>
    <t>Social Work Community Education</t>
  </si>
  <si>
    <t>SW 40</t>
  </si>
  <si>
    <t>Social Work Research 2</t>
  </si>
  <si>
    <t>SW 41</t>
  </si>
  <si>
    <t>Community Social Based Work Practice*</t>
  </si>
  <si>
    <t>SW 42</t>
  </si>
  <si>
    <t>Special Problems in Social Work*</t>
  </si>
  <si>
    <t>SW 43</t>
  </si>
  <si>
    <t>Field Instruction I*</t>
  </si>
  <si>
    <t>SW 44</t>
  </si>
  <si>
    <t>Field Instruction 2</t>
  </si>
  <si>
    <t>SW 45</t>
  </si>
  <si>
    <t>Interactive Skills in Social Work</t>
  </si>
  <si>
    <t>Psych 1</t>
  </si>
  <si>
    <t>General Pschology</t>
  </si>
  <si>
    <t>Psych 12</t>
  </si>
  <si>
    <t>Developmental Psychology</t>
  </si>
  <si>
    <t>Psych 13</t>
  </si>
  <si>
    <t>Mental Hygiene</t>
  </si>
  <si>
    <t>Psych 21</t>
  </si>
  <si>
    <t>Psychology of Learning</t>
  </si>
  <si>
    <t>Psych 22</t>
  </si>
  <si>
    <t>Theories of Personalities</t>
  </si>
  <si>
    <t>Psych 23</t>
  </si>
  <si>
    <t>Business Psychology</t>
  </si>
  <si>
    <t>Psych 24</t>
  </si>
  <si>
    <t>Social Psychology and Group Processes</t>
  </si>
  <si>
    <t>Psych 31</t>
  </si>
  <si>
    <t>Physiology of Behavior</t>
  </si>
  <si>
    <t>Psych 33</t>
  </si>
  <si>
    <t>Psychometrics</t>
  </si>
  <si>
    <t>Psych 35</t>
  </si>
  <si>
    <t>Abnormal Psychology</t>
  </si>
  <si>
    <t>Psych 32</t>
  </si>
  <si>
    <t>Guidance &amp; Counseling</t>
  </si>
  <si>
    <t>Psych 34</t>
  </si>
  <si>
    <t>Projective Technique</t>
  </si>
  <si>
    <t>Psych 36</t>
  </si>
  <si>
    <t>Experimental Psych</t>
  </si>
  <si>
    <t>(research quantitative)</t>
  </si>
  <si>
    <t>Psych 41</t>
  </si>
  <si>
    <t>Clinical Psychology</t>
  </si>
  <si>
    <t>Psych 42</t>
  </si>
  <si>
    <t>Psychoanalysis</t>
  </si>
  <si>
    <t>Psych 43</t>
  </si>
  <si>
    <t>Internship</t>
  </si>
  <si>
    <t>Year</t>
  </si>
  <si>
    <t>eBooks (Kavita)</t>
  </si>
  <si>
    <t>This course is an introduction to the basic concepts, theories, and principles of political science; types of political systems; and the development of political institutions and processes. It will allow students to articulate, compare and contrast major concepts in the discipline.</t>
  </si>
  <si>
    <t>This course focuses on the Philippine politics, governance, and constitution. More specifically it will deal with the different forms of government, system of governance, and a thorough analysis of the articles of the fundamental law of the land.</t>
  </si>
  <si>
    <t>This course tackles the principles, practices, and problems of public administration; historical, behavioral, and institutional analysis and evaluation of the national and local bureaucracy and administration in the Philippines.</t>
  </si>
  <si>
    <t>This course is an introduction to comparative political processes in developed and developing states. It will allow students to articulate, compare and contrast different forms of political processes.</t>
  </si>
  <si>
    <t>This course will enable the students to analyze, compare and contrast the important political ideas and philosophies that shaped the political thought. It also allows students to have basic and critical understanding of the various issues and controversies today and aims to examine how political thinkers from western antiquity to the early modern era focusing on their complex concepts, approaches, claims, issues, and nuances have structured the contemporary framing of and debates on the “political”.</t>
  </si>
  <si>
    <t>PSM 6: Politics and Government in Southeast Asia (3 units)</t>
  </si>
  <si>
    <t>This course will enable the students to analyze, compare and contrast the political systems of Japan, China, Korea (north and south), Malaysia, Singapore, and Indonesia.</t>
  </si>
  <si>
    <t>This course discusses the study of international cooperation and conflict and the analysis of regional, functional, and universal regimes and institutions sustaining these processes.</t>
  </si>
  <si>
    <t>This course is designed to execute research inquiries using appropriate quantitative and qualitative approaches guided by political theories or conceptual frameworks and discusses the methods of research and analysis as applied to contemporary political phenomena.</t>
  </si>
  <si>
    <t>This course discusses the basic methods for developing skills in treating political data used in research.</t>
  </si>
  <si>
    <t>This course is an actual observation on the dynamics of policymaking, at the local or national levels, judicial processes, and the operation of certain government offices including allied institutions.</t>
  </si>
  <si>
    <t>This course investigates the types and structures of political parties and interest groups; their functions in the political system; and their strategy and tactics, particularly in aggregating and articulating interests and controlling governmental power and public policy.</t>
  </si>
  <si>
    <t>This course discusses the theory and dynamics of the government and politics of the United States.</t>
  </si>
  <si>
    <t>This course explores the dynamics of government and political systems of the United Kingdom, France, Italy, Germany, and Russia.</t>
  </si>
  <si>
    <t>This course is a directed reading on the current issues, trends, and problems in Philippine politics and government.</t>
  </si>
  <si>
    <t>This course tackles the dynamics of political institutions and power in relation to the geographical environment; the influence of geography and economic contexts.</t>
  </si>
  <si>
    <t>This course discusses and analyzes the nature, laws, dynamics, and development of Philippine local government.</t>
  </si>
  <si>
    <t>The course deals primarily with the concepts and principles of development and progress. It will equip students with the essential ideas and theories in understanding the existence of poverty among nations, and the manner in which these countries were able to overcome their predicament would be included in the subject matter discussed. Problems encountered during the process of developing as well as plans and strategies for reducing poverty are to be tackled during the semester.</t>
  </si>
  <si>
    <t>This course explores and analyzes the concepts, dynamics, and philosophies that influence and shape Philippine political thought.</t>
  </si>
  <si>
    <t>This course explores and analyzes the concepts, dynamics, and philosophies that influence and shape Asian political thought.</t>
  </si>
  <si>
    <t>The course is a directed reading of theories of political economy and their empirical application to the contemporary national development thrusts.</t>
  </si>
  <si>
    <t>This course discusses and analyzes the nature, dynamics, and development of Philippine fiscal administration.</t>
  </si>
  <si>
    <t>This course is the application of the principles and operation of statistics in analyzing political data and phenomena.</t>
  </si>
  <si>
    <t>This course introduces students to the realities and issues on local governance. It will help students critique, judge, and respond to current issues and problems based on the substantive understanding of the realities of local governance.</t>
  </si>
  <si>
    <t>PSM 8</t>
  </si>
  <si>
    <t>PSM 9</t>
  </si>
  <si>
    <t>Painless American Government-Barrons Educational Services (2023)</t>
  </si>
  <si>
    <t>Jeffrey Strausser</t>
  </si>
  <si>
    <t>THE BODY POLITIC IN ROMAN POLITICAL</t>
  </si>
  <si>
    <t>The Political Thought of John Holloway_ Struggle, Critique, Emancipation</t>
  </si>
  <si>
    <t>Alfonso García Vela</t>
  </si>
  <si>
    <t>COMPARATIVE GOVERNMENT AND POLITICS SERIES</t>
  </si>
  <si>
    <t>Maura Adshead</t>
  </si>
  <si>
    <t>Pufendorf ’s International Political and Legal Thought</t>
  </si>
  <si>
    <t>Tears of History_ The Rise of Political Antisemitism in the United States</t>
  </si>
  <si>
    <t>Pierre Birnbaum</t>
  </si>
  <si>
    <t>NOSTALGIA AND POLITICAL THEORY</t>
  </si>
  <si>
    <t>Revolutionary Hope in a Time of Crisis_ Political Disillusion, Democracy, and Utopia</t>
  </si>
  <si>
    <t>Globalizing Political Theory</t>
  </si>
  <si>
    <t>Bridging Two Worlds_ Comparing Classical Political Thought and Statecraft in India and China</t>
  </si>
  <si>
    <t>The Political Thought Of David Hume_ The Origins Of Liberalism And The Modern Political Imagination</t>
  </si>
  <si>
    <t>Aaron Alexander Zubia</t>
  </si>
  <si>
    <t>A History of Economic Thought in France_ Political Economy</t>
  </si>
  <si>
    <t>Gilbert Faccarello</t>
  </si>
  <si>
    <t>Envisioning Democracy New Essays after Sheldon Wolin’s Political Thought</t>
  </si>
  <si>
    <t>Political Theory and the Displacement of Politics</t>
  </si>
  <si>
    <t>Bonnie Honig</t>
  </si>
  <si>
    <t>The Palgrave Handbook of International Political Theory_ Volume I</t>
  </si>
  <si>
    <t>Howard Williams</t>
  </si>
  <si>
    <t>Sociology From “the Protestant Ethic Thesis” and the American Political Culture to a Sociology of Civilizations</t>
  </si>
  <si>
    <t>The Palgrave Handbook of International Political Theory_ Volume II</t>
  </si>
  <si>
    <t>The Greatest of All Plagues  How Economic Inequality Shaped Political Thought</t>
  </si>
  <si>
    <t>Spinoza in Germany Political and Religious Thought Across the Long Nineteenth Century</t>
  </si>
  <si>
    <t>The Mahabharata in Global Political and Social Thought</t>
  </si>
  <si>
    <t>Milinda Banerjee</t>
  </si>
  <si>
    <t>Marxist Thought in South Asia</t>
  </si>
  <si>
    <t>Kristin Plys, Priyansh</t>
  </si>
  <si>
    <t>Various - Political Theory. 1-National Council of Educational Research and Training</t>
  </si>
  <si>
    <t>Political Thinking, Political  Theory, and Civil Society</t>
  </si>
  <si>
    <t>Studies on the Reception of Plato and Greek Political Thought in Victorian Britain</t>
  </si>
  <si>
    <t>Being Vulnerable_ Contemporary Political Thought</t>
  </si>
  <si>
    <t>Arne De Boever</t>
  </si>
  <si>
    <t>Political Theory_ An Introduction</t>
  </si>
  <si>
    <t>Andrew Heywood</t>
  </si>
  <si>
    <t>The presidency</t>
  </si>
  <si>
    <t>Lori Cox Han</t>
  </si>
  <si>
    <t>Cases in Comparative Government and Politics</t>
  </si>
  <si>
    <t>John McCormick</t>
  </si>
  <si>
    <t>A HISTORY OF POLITICAL SCIENCE</t>
  </si>
  <si>
    <t xml:space="preserve">Mark Bevir </t>
  </si>
  <si>
    <t>Combining Political History and Political Science</t>
  </si>
  <si>
    <t>Carlos Domper Lasús</t>
  </si>
  <si>
    <t>American Government and Politics Today</t>
  </si>
  <si>
    <t xml:space="preserve">Steffen W. Schmidt </t>
  </si>
  <si>
    <t>Nineteenth-Century Political Thought and Practice</t>
  </si>
  <si>
    <t>Victorian Liberalism</t>
  </si>
  <si>
    <t>Founding Myths, Charters and Constitutions Through History</t>
  </si>
  <si>
    <t>Constitutional Moments</t>
  </si>
  <si>
    <t>Washington_s Government</t>
  </si>
  <si>
    <t>Max M. Edling</t>
  </si>
  <si>
    <t>Why Politics Matters An Introduction to Political Science, Third Edition</t>
  </si>
  <si>
    <t>Kevin Dooley</t>
  </si>
  <si>
    <t>Ethnic Boundary-Making at the Margins of Conflict in The Philippines_ Everyday Identity Politics in Mindanao</t>
  </si>
  <si>
    <t>Asian Political, Economic and Social Issues</t>
  </si>
  <si>
    <t>Civil Society and Government</t>
  </si>
  <si>
    <t>Nancy L. Rosenblum</t>
  </si>
  <si>
    <t>Encyclopedia of Critical Political Science</t>
  </si>
  <si>
    <t>Clyde W. Barrow</t>
  </si>
  <si>
    <t>GOVT11_ Principles of American Government. 11</t>
  </si>
  <si>
    <t>Edward Sidlow</t>
  </si>
  <si>
    <t>The Oxford Handbook of PHILOSOPHY OF POLITICAL SCIENCE</t>
  </si>
  <si>
    <t>HAROLD KINCAID</t>
  </si>
  <si>
    <t>Power and Choice_ An Introduction to Political Science</t>
  </si>
  <si>
    <t xml:space="preserve">W. Phillips Shively </t>
  </si>
  <si>
    <t>Comparative Government and Politics</t>
  </si>
  <si>
    <t>Introduction to Political Science</t>
  </si>
  <si>
    <t>Political Science is for Everybody_ An Introduction to Political Science</t>
  </si>
  <si>
    <t>Amy L. Atchison</t>
  </si>
  <si>
    <t>American Government</t>
  </si>
  <si>
    <t>Glen Krutz</t>
  </si>
  <si>
    <t>Political Science_ A Comparative Introduction</t>
  </si>
  <si>
    <t>Hague, Rod</t>
  </si>
  <si>
    <t>International Relations Theory- A New Introduction</t>
  </si>
  <si>
    <t>Essentials of International Relations</t>
  </si>
  <si>
    <t>Handbook of Critical International Relations</t>
  </si>
  <si>
    <t>International Relations Theory</t>
  </si>
  <si>
    <t>Introducing International Relations</t>
  </si>
  <si>
    <t>Karen A. Mingst</t>
  </si>
  <si>
    <t>Steven C. Roach</t>
  </si>
  <si>
    <t>Knud Erik Jørgensen</t>
  </si>
  <si>
    <t>Mark V. K auppi</t>
  </si>
  <si>
    <t>PAUL SHARP</t>
  </si>
  <si>
    <t>Introuction to Political Analysis and research</t>
  </si>
  <si>
    <t>Puerto PrincesaCity</t>
  </si>
  <si>
    <t>Library Services</t>
  </si>
  <si>
    <t>Director for Library Services</t>
  </si>
  <si>
    <t xml:space="preserve">Christian Robert B. Nalica </t>
  </si>
  <si>
    <t>001.4 R311 Fil</t>
  </si>
  <si>
    <t/>
  </si>
  <si>
    <t>Research 101 : notes and style guide in thesis and dissertation writing for the Filipino students</t>
  </si>
  <si>
    <t>001.42 D35 Fil</t>
  </si>
  <si>
    <t>De Belen, Rustico T.</t>
  </si>
  <si>
    <t>Research and thesis writing : outcome-based research manual</t>
  </si>
  <si>
    <t>001.42 L138 Fil</t>
  </si>
  <si>
    <t>Lagrimas, Juliet Cui,</t>
  </si>
  <si>
    <t>Research and thesis writing : with tips in oral presentation</t>
  </si>
  <si>
    <t>001.42 Y29 Fil</t>
  </si>
  <si>
    <t>Yazon, Alberto D.</t>
  </si>
  <si>
    <t>Learning guide in methods of research</t>
  </si>
  <si>
    <t>3G E-Learning LLC.</t>
  </si>
  <si>
    <t>004.6782 T143</t>
  </si>
  <si>
    <t>Talia, Domenico.</t>
  </si>
  <si>
    <t>Data analysis in the cloud : models, techniques and applications</t>
  </si>
  <si>
    <t>Montemayor, Jose C., Jr.</t>
  </si>
  <si>
    <t>Lanuza, Gerry M.</t>
  </si>
  <si>
    <t>Understanding culture, society, and politics</t>
  </si>
  <si>
    <t>302.23 R831</t>
  </si>
  <si>
    <t>Ruddock, Andy.</t>
  </si>
  <si>
    <t>Exploring media research : theories, practice and purpose</t>
  </si>
  <si>
    <t>Bihasa, Carmelo Rico S.,</t>
  </si>
  <si>
    <t>320 V235 Fil</t>
  </si>
  <si>
    <t>Valenzuela, Edwin E.</t>
  </si>
  <si>
    <t>Understanding basic concepts in political science</t>
  </si>
  <si>
    <t>320.01 T413</t>
  </si>
  <si>
    <t>Political thought</t>
  </si>
  <si>
    <t>320.0721 D648 Fil</t>
  </si>
  <si>
    <t>Dizon, Kurt Zeus L.,</t>
  </si>
  <si>
    <t>Qualitative and quantitative research (with statistics) for political science and public administration</t>
  </si>
  <si>
    <t>320.12 M764 Fil</t>
  </si>
  <si>
    <t>Montemayor, Jose C. Jr.,</t>
  </si>
  <si>
    <t>Geopolitics, geostrategy, and geoeconomics</t>
  </si>
  <si>
    <t>320.473 Oc5</t>
  </si>
  <si>
    <t>O' Connor, Karen.</t>
  </si>
  <si>
    <t>American government : roots and reform</t>
  </si>
  <si>
    <t>320.6 M764 Fil</t>
  </si>
  <si>
    <t>Policy (definition and its concept)</t>
  </si>
  <si>
    <t>Pawilen, R.A.</t>
  </si>
  <si>
    <t>Philippine politics and governance</t>
  </si>
  <si>
    <t>320.9599 B145 Fil</t>
  </si>
  <si>
    <t>Baes, Aldrin P.,</t>
  </si>
  <si>
    <t>Introduction to Philippine politics &amp; governance (with basic constitutional provisions)</t>
  </si>
  <si>
    <t>320.9914 P289 Fil</t>
  </si>
  <si>
    <t>321.02 C76 Fil</t>
  </si>
  <si>
    <t>The Congressional Policy and Budget Research Department, House of Representatives.</t>
  </si>
  <si>
    <t>Drawing lessons for the creation of regional governments under a federal set up : case study on the Autonomous Region in Muslim Mindanao.</t>
  </si>
  <si>
    <t>321.02 M764 Fil</t>
  </si>
  <si>
    <t>Federalism : national and international perspective, are we ready?</t>
  </si>
  <si>
    <t>327 B244</t>
  </si>
  <si>
    <t>Barker, Robert.</t>
  </si>
  <si>
    <t>International relations and policies</t>
  </si>
  <si>
    <t>327 H169</t>
  </si>
  <si>
    <t>Halu, Anilkumar B.</t>
  </si>
  <si>
    <t>Theory and practice of international relations</t>
  </si>
  <si>
    <t>327 L881 Fil</t>
  </si>
  <si>
    <t>Lopez, Jim V.,</t>
  </si>
  <si>
    <t>International relations : power struggles and balancing acts</t>
  </si>
  <si>
    <t>327 Sh23</t>
  </si>
  <si>
    <t>Sharp, Paul.</t>
  </si>
  <si>
    <t>Introducing international relations</t>
  </si>
  <si>
    <t>327.09045 L972</t>
  </si>
  <si>
    <t>Lundestad, Geir.</t>
  </si>
  <si>
    <t>International relations since 1945 : east, west, north, south</t>
  </si>
  <si>
    <t>327.101 B343</t>
  </si>
  <si>
    <t>Baylis, John.</t>
  </si>
  <si>
    <t>The globalization of world politics : an introduction to international relations</t>
  </si>
  <si>
    <t>327.101 C869</t>
  </si>
  <si>
    <t>edited by Aoileann Ni MHURCHU' and Reiko Shindo.</t>
  </si>
  <si>
    <t>Critical imaginations in international relations</t>
  </si>
  <si>
    <t>328.331 P416 Fil</t>
  </si>
  <si>
    <t>edited and prepared by the Legislation Group.</t>
  </si>
  <si>
    <t>Performance of the Senate : nineteenth congress first regular session July 25, 2022-June 2, 2023</t>
  </si>
  <si>
    <t>330.122 L61</t>
  </si>
  <si>
    <t>Li, Kui Wai.</t>
  </si>
  <si>
    <t>Redefining capitalism in global economic development</t>
  </si>
  <si>
    <t>330.122 P75 Fil</t>
  </si>
  <si>
    <t>Poblador, Niceto S.,</t>
  </si>
  <si>
    <t>Strategy in the new age of capitalism : collaborative and inclusive approaches to value creation</t>
  </si>
  <si>
    <t>Sirug, Winston S.,</t>
  </si>
  <si>
    <t>338.9 C112 Fil</t>
  </si>
  <si>
    <t>Cabudol, Emerson G.,</t>
  </si>
  <si>
    <t>Economic development</t>
  </si>
  <si>
    <t>Jimenez, Josephus B.</t>
  </si>
  <si>
    <t>compiled and edited by CBSI Editorial Staff.</t>
  </si>
  <si>
    <t>342.09 An43 Fil</t>
  </si>
  <si>
    <t>Angeles, Joseph Emmanuel L.</t>
  </si>
  <si>
    <t>Restatement of the law on local government</t>
  </si>
  <si>
    <t>342.09 L786</t>
  </si>
  <si>
    <t>The local government code : with implementing rules and regulations</t>
  </si>
  <si>
    <t>342.09 M267</t>
  </si>
  <si>
    <t>Madrona, Severo C. Jr.,</t>
  </si>
  <si>
    <t>The handbook of local government law in the Philippines</t>
  </si>
  <si>
    <t>342.09 R54 Fil</t>
  </si>
  <si>
    <t>Robeniol, Gabriel T.</t>
  </si>
  <si>
    <t>The law on katarungan pambarangay : (explained in English and Filipino)</t>
  </si>
  <si>
    <t>351 B489 Fil</t>
  </si>
  <si>
    <t>Introduction to public administration</t>
  </si>
  <si>
    <t>352.23 F519 Fil</t>
  </si>
  <si>
    <t>P.C.O.O. Bureau of Communications Services.</t>
  </si>
  <si>
    <t>The first state of the nation address of Rodrigo Roa Duterte : 16th President of the Philippines, July 25, 2016</t>
  </si>
  <si>
    <t>352.230973 N42</t>
  </si>
  <si>
    <t>edited by Lori Cox Han.</t>
  </si>
  <si>
    <t>New directions in the American presidency</t>
  </si>
  <si>
    <t>Caudilla, Jesus Perry L.,</t>
  </si>
  <si>
    <t>519.2 Si79 Fil</t>
  </si>
  <si>
    <t>Introduction to probability and statistics : a simplified approach</t>
  </si>
  <si>
    <t>519.5 B454</t>
  </si>
  <si>
    <t>Bergin, Tiffany.</t>
  </si>
  <si>
    <t>An introduction to data analysis : quantitative, qualitative and mixed methods</t>
  </si>
  <si>
    <t>519.5 B834</t>
  </si>
  <si>
    <t>Bruhl, Robert.</t>
  </si>
  <si>
    <t>Understanding statistical analysis and modeling</t>
  </si>
  <si>
    <t>Rivera, John Paolo R.,</t>
  </si>
  <si>
    <t>Statistical analysis with software applications</t>
  </si>
  <si>
    <t>519.50285 R524 Fil</t>
  </si>
  <si>
    <t>658.3124 C31 Fil</t>
  </si>
  <si>
    <t>Essentials of workplace-readiness skills</t>
  </si>
  <si>
    <t>658.314 J564 Fil</t>
  </si>
  <si>
    <t>The 8 secrets for success in leading and managing people through employee discipline : legal and administrative dimension, book 1</t>
  </si>
  <si>
    <t>959.9053 D951</t>
  </si>
  <si>
    <t>John S. Manalili [Editor-In-Cheif].</t>
  </si>
  <si>
    <t>Policy statements : President Rodrigo Roa Duterte, Republic of the Philippines</t>
  </si>
  <si>
    <t>Abante et, al.</t>
  </si>
  <si>
    <t>2025-DC-023, item no 19</t>
  </si>
  <si>
    <t>Advanced Public Fiscal Management, Finance and Accountability</t>
  </si>
  <si>
    <t>Sergote</t>
  </si>
  <si>
    <t>2025-DC-023, item no 93</t>
  </si>
  <si>
    <t>Introduction to Research</t>
  </si>
  <si>
    <t>301 L297</t>
  </si>
  <si>
    <t>Author</t>
  </si>
  <si>
    <t>Alissa Ruth,</t>
  </si>
  <si>
    <t>The Handbook Of Teaching Qualitative And Mixed Research Methods: A Step-By-Step Guide For Instructors [1 ed.]</t>
  </si>
  <si>
    <t>Cameron Newton</t>
  </si>
  <si>
    <t>Handbook of Research Methods for Organisational Culture</t>
  </si>
  <si>
    <t>Deborah Wardle</t>
  </si>
  <si>
    <t>A to Z of Creative Writing Method</t>
  </si>
  <si>
    <t>David B. Szabla</t>
  </si>
  <si>
    <t>Handbook of Research Methods in Organizational Change</t>
  </si>
  <si>
    <t>Cheryl N. Poth</t>
  </si>
  <si>
    <t>The Sage Handbook of Mixed Methods Research Design</t>
  </si>
  <si>
    <t>Helen Kara</t>
  </si>
  <si>
    <t>The Bloomsbury Handbook of Creative Research Methods</t>
  </si>
  <si>
    <t>The President's penultimate report to the people 2016-2020, bayanihan, panaghiusa at pag-asa: moving as one nation towards a better normal</t>
  </si>
  <si>
    <t>Government Publications</t>
  </si>
  <si>
    <t>First one hundred days : accomplishments of president Rodrigo Roa Duterte</t>
  </si>
  <si>
    <t>Reforming Philippine anti-poverty policy : NAPC secretariat 2017</t>
  </si>
  <si>
    <t>Policy statements of president Gloria Macapagal-Arroyo vol 19, s1 to s4</t>
  </si>
  <si>
    <t>Policy statements of president Gloria Macapagal-Arroyo vol 10, issue 3-5, 9-15</t>
  </si>
  <si>
    <t>Policy statements of president Gloria Macapagal-Arroyo vol 11, issue 1-8</t>
  </si>
  <si>
    <t>Policy statements of president Gloria Macapagal-Arroyo vol 12, issue 2, 5, 8-10</t>
  </si>
  <si>
    <t>Policy statements of president Gloria Macapagal-Arroyo vol 13, issues 1-12</t>
  </si>
  <si>
    <t>Policy statements : her excellency Gloria Macapagal-Arroyo, presidents of the Republic of the Philippines vol 14, issue 1-12</t>
  </si>
  <si>
    <t>Policy statements of president Gloria Macapagal-Arroyo vol 15, issue no 1-10</t>
  </si>
  <si>
    <t>Policy statements of president Gloria Macapagal-Arroyo vol 16, issue no 1-3</t>
  </si>
  <si>
    <t>Policy statements : her excellency Gloria Macapagal-Arroyo, presidents of the Republic of the Philippines vol 17, issue no 1-9, 11-12</t>
  </si>
  <si>
    <t>Policy statements : her excellency Gloria Macapagal-Arroyo, presidents of the Republic of the Philippines vol 18, issue no 1-11</t>
  </si>
  <si>
    <t>Bureau of Communications Services</t>
  </si>
  <si>
    <t>Policy Statements : President Rodrigo Roa Duterte Republic of the Philippines, vol 25, issue no 1 &amp; 3</t>
  </si>
  <si>
    <t>Policy Statements : President Rodrigo Roa Duterte Republic of the Philippines, vol 26, issue no 1-6</t>
  </si>
  <si>
    <t>Policy Statements : President Rodrigo Roa Duterte Republic of the Philippines, vol 27, issue no 1-6</t>
  </si>
  <si>
    <t>Policy Statements : President Rodrigo Roa Duterte Republic of the Philippines, vol 28,  issue no 2</t>
  </si>
  <si>
    <t>data as of October 7, 2025</t>
  </si>
  <si>
    <t>MAJOR COURSES</t>
  </si>
  <si>
    <t>POLITICAL SCIENCE ELECTIVE COURSES</t>
  </si>
  <si>
    <t>POLITICAL SCIENCE INTERDISCIPLINARY ELECTIVE COURSES</t>
  </si>
  <si>
    <t>Politics and Government in Southeast Asia</t>
  </si>
  <si>
    <t>PSM 6</t>
  </si>
  <si>
    <t>data as of October 07, 2025</t>
  </si>
  <si>
    <t>Printed books</t>
  </si>
  <si>
    <t>eBooks</t>
  </si>
  <si>
    <t>Summary of Professional 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</si>
</sst>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00_-;\-* #,##0.00_-;_-* &quot;-&quot;??_-;_-@_-"/>
  </numFmts>
  <fonts count="14" x14ac:knownFonts="1">
    <font>
      <sz val="12"/>
      <color theme="1"/>
      <name val="Arial"/>
      <family val="2"/>
    </font>
    <font>
      <b/>
      <sz val="12"/>
      <color theme="1"/>
      <name val="Arial"/>
      <family val="2"/>
    </font>
    <font>
      <b/>
      <i/>
      <sz val="12"/>
      <color theme="1"/>
      <name val="Arial"/>
      <family val="2"/>
    </font>
    <font>
      <b/>
      <sz val="11"/>
      <color theme="6" tint="-0.499984740745262"/>
      <name val="Calibri"/>
      <family val="2"/>
      <scheme val="minor"/>
    </font>
    <font>
      <sz val="10"/>
      <name val="Arial"/>
      <family val="2"/>
    </font>
    <font>
      <sz val="11"/>
      <color indexed="8"/>
      <name val="Calibri"/>
      <family val="2"/>
    </font>
    <font>
      <sz val="12"/>
      <name val="Arial"/>
      <family val="2"/>
    </font>
    <font>
      <b/>
      <sz val="12"/>
      <name val="Arial"/>
      <family val="2"/>
    </font>
    <font>
      <sz val="12"/>
      <color indexed="8"/>
      <name val="Arial"/>
      <family val="2"/>
    </font>
    <font>
      <b/>
      <sz val="12"/>
      <color indexed="8"/>
      <name val="Arial"/>
      <family val="2"/>
    </font>
    <font>
      <sz val="12"/>
      <color theme="1"/>
      <name val="Arial"/>
      <family val="2"/>
    </font>
    <font>
      <sz val="12"/>
      <color rgb="FF000000"/>
      <name val="Arial"/>
      <family val="2"/>
    </font>
    <font>
      <sz val="12"/>
      <color rgb="FF000000"/>
      <name val="Arial Narrow"/>
      <family val="2"/>
    </font>
    <font>
      <i/>
      <sz val="12"/>
      <color theme="1"/>
      <name val="Arial"/>
      <family val="2"/>
    </font>
  </fonts>
  <fills count="6">
    <fill>
      <patternFill patternType="none"/>
    </fill>
    <fill>
      <patternFill patternType="gray125"/>
    </fill>
    <fill>
      <patternFill patternType="solid">
        <fgColor theme="0"/>
        <bgColor indexed="64"/>
      </patternFill>
    </fill>
    <fill>
      <patternFill patternType="solid">
        <fgColor theme="6" tint="0.79998168889431442"/>
        <bgColor indexed="64"/>
      </patternFill>
    </fill>
    <fill>
      <patternFill patternType="solid">
        <fgColor theme="2" tint="-0.249977111117893"/>
        <bgColor indexed="64"/>
      </patternFill>
    </fill>
    <fill>
      <patternFill patternType="solid">
        <fgColor theme="9" tint="0.59999389629810485"/>
        <bgColor indexed="64"/>
      </patternFill>
    </fill>
  </fills>
  <borders count="14">
    <border>
      <left/>
      <right/>
      <top/>
      <bottom/>
      <diagonal/>
    </border>
    <border>
      <left style="thin">
        <color indexed="64"/>
      </left>
      <right style="thin">
        <color indexed="64"/>
      </right>
      <top style="thin">
        <color indexed="64"/>
      </top>
      <bottom style="thin">
        <color indexed="64"/>
      </bottom>
      <diagonal/>
    </border>
    <border>
      <left style="thin">
        <color auto="1"/>
      </left>
      <right style="thin">
        <color auto="1"/>
      </right>
      <top style="thin">
        <color auto="1"/>
      </top>
      <bottom/>
      <diagonal/>
    </border>
    <border>
      <left style="thin">
        <color theme="0"/>
      </left>
      <right style="thin">
        <color theme="0"/>
      </right>
      <top style="thin">
        <color theme="0"/>
      </top>
      <bottom style="thin">
        <color theme="0"/>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bottom style="thin">
        <color indexed="64"/>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s>
  <cellStyleXfs count="7">
    <xf numFmtId="0" fontId="0" fillId="0" borderId="0"/>
    <xf numFmtId="0" fontId="3" fillId="3" borderId="3" applyNumberFormat="0">
      <alignment horizontal="center" vertical="center"/>
    </xf>
    <xf numFmtId="0" fontId="4" fillId="0" borderId="0"/>
    <xf numFmtId="0" fontId="5" fillId="0" borderId="0"/>
    <xf numFmtId="43" fontId="10" fillId="0" borderId="0" applyFont="0" applyFill="0" applyBorder="0" applyAlignment="0" applyProtection="0"/>
    <xf numFmtId="0" fontId="4" fillId="0" borderId="0"/>
    <xf numFmtId="164" fontId="10" fillId="0" borderId="0" applyFont="0" applyFill="0" applyBorder="0" applyAlignment="0" applyProtection="0"/>
  </cellStyleXfs>
  <cellXfs count="118">
    <xf numFmtId="0" fontId="0" fillId="0" borderId="0" xfId="0"/>
    <xf numFmtId="0" fontId="1" fillId="0" borderId="0" xfId="0" applyFont="1" applyAlignment="1">
      <alignment horizontal="center" vertical="top"/>
    </xf>
    <xf numFmtId="0" fontId="2" fillId="0" borderId="0" xfId="0" applyFont="1" applyAlignment="1">
      <alignment horizontal="center" vertical="top"/>
    </xf>
    <xf numFmtId="0" fontId="1" fillId="0" borderId="0" xfId="0" applyFont="1" applyAlignment="1">
      <alignment horizontal="left" vertical="top"/>
    </xf>
    <xf numFmtId="0" fontId="1" fillId="0" borderId="0" xfId="0" applyFont="1" applyAlignment="1">
      <alignment vertical="top"/>
    </xf>
    <xf numFmtId="0" fontId="1" fillId="0" borderId="0" xfId="0" applyFont="1" applyAlignment="1">
      <alignment horizontal="center"/>
    </xf>
    <xf numFmtId="0" fontId="0" fillId="0" borderId="0" xfId="0" applyAlignment="1">
      <alignment horizontal="center" vertical="top"/>
    </xf>
    <xf numFmtId="0" fontId="0" fillId="0" borderId="0" xfId="0" applyAlignment="1">
      <alignment horizontal="left" vertical="top"/>
    </xf>
    <xf numFmtId="0" fontId="0" fillId="0" borderId="0" xfId="0" applyAlignment="1">
      <alignment vertical="top" wrapText="1"/>
    </xf>
    <xf numFmtId="0" fontId="0" fillId="0" borderId="0" xfId="0" applyAlignment="1">
      <alignment vertical="top"/>
    </xf>
    <xf numFmtId="0" fontId="1" fillId="0" borderId="0" xfId="0" applyFont="1"/>
    <xf numFmtId="0" fontId="1" fillId="4" borderId="1" xfId="0" applyFont="1" applyFill="1" applyBorder="1" applyAlignment="1">
      <alignment horizontal="center" vertical="top"/>
    </xf>
    <xf numFmtId="0" fontId="1" fillId="4" borderId="1" xfId="0" applyFont="1" applyFill="1" applyBorder="1" applyAlignment="1">
      <alignment horizontal="center" vertical="top" wrapText="1"/>
    </xf>
    <xf numFmtId="0" fontId="6" fillId="0" borderId="0" xfId="0" applyFont="1" applyAlignment="1">
      <alignment horizontal="left" vertical="top"/>
    </xf>
    <xf numFmtId="0" fontId="7" fillId="0" borderId="0" xfId="0" applyFont="1" applyAlignment="1">
      <alignment horizontal="right" vertical="top" wrapText="1"/>
    </xf>
    <xf numFmtId="0" fontId="7" fillId="0" borderId="0" xfId="0" applyFont="1" applyAlignment="1">
      <alignment horizontal="center" vertical="top"/>
    </xf>
    <xf numFmtId="0" fontId="0" fillId="0" borderId="4" xfId="0" applyBorder="1" applyAlignment="1">
      <alignment horizontal="left" vertical="top"/>
    </xf>
    <xf numFmtId="0" fontId="7" fillId="0" borderId="4" xfId="0" applyFont="1" applyBorder="1" applyAlignment="1">
      <alignment horizontal="right" vertical="top" wrapText="1"/>
    </xf>
    <xf numFmtId="0" fontId="1" fillId="0" borderId="4" xfId="0" applyFont="1" applyBorder="1" applyAlignment="1">
      <alignment horizontal="center" vertical="top"/>
    </xf>
    <xf numFmtId="49" fontId="0" fillId="0" borderId="4" xfId="0" applyNumberFormat="1" applyBorder="1" applyAlignment="1">
      <alignment horizontal="left" vertical="top"/>
    </xf>
    <xf numFmtId="0" fontId="8" fillId="0" borderId="0" xfId="0" applyFont="1" applyAlignment="1">
      <alignment horizontal="center" vertical="top"/>
    </xf>
    <xf numFmtId="0" fontId="9" fillId="0" borderId="0" xfId="0" applyFont="1" applyAlignment="1">
      <alignment horizontal="center" vertical="top"/>
    </xf>
    <xf numFmtId="0" fontId="6" fillId="0" borderId="4" xfId="0" applyFont="1" applyBorder="1" applyAlignment="1">
      <alignment horizontal="left" vertical="top"/>
    </xf>
    <xf numFmtId="0" fontId="6" fillId="0" borderId="4" xfId="0" applyFont="1" applyBorder="1" applyAlignment="1">
      <alignment horizontal="center" vertical="top"/>
    </xf>
    <xf numFmtId="49" fontId="0" fillId="0" borderId="0" xfId="0" applyNumberFormat="1" applyAlignment="1">
      <alignment horizontal="left" vertical="top"/>
    </xf>
    <xf numFmtId="1" fontId="1" fillId="0" borderId="0" xfId="0" applyNumberFormat="1" applyFont="1" applyAlignment="1">
      <alignment horizontal="center" vertical="top"/>
    </xf>
    <xf numFmtId="49" fontId="0" fillId="0" borderId="1" xfId="0" applyNumberFormat="1" applyBorder="1" applyAlignment="1">
      <alignment vertical="top"/>
    </xf>
    <xf numFmtId="49" fontId="1" fillId="5" borderId="1" xfId="0" applyNumberFormat="1" applyFont="1" applyFill="1" applyBorder="1" applyAlignment="1">
      <alignment horizontal="center" vertical="top" wrapText="1"/>
    </xf>
    <xf numFmtId="49" fontId="0" fillId="0" borderId="1" xfId="0" applyNumberFormat="1" applyBorder="1" applyAlignment="1">
      <alignment vertical="top" wrapText="1"/>
    </xf>
    <xf numFmtId="1" fontId="0" fillId="0" borderId="1" xfId="0" applyNumberFormat="1" applyBorder="1" applyAlignment="1">
      <alignment horizontal="center" vertical="top"/>
    </xf>
    <xf numFmtId="0" fontId="6" fillId="0" borderId="1" xfId="0" applyFont="1" applyBorder="1" applyAlignment="1">
      <alignment horizontal="left" vertical="top"/>
    </xf>
    <xf numFmtId="0" fontId="6" fillId="0" borderId="1" xfId="0" applyFont="1" applyBorder="1" applyAlignment="1">
      <alignment horizontal="left" vertical="top" wrapText="1"/>
    </xf>
    <xf numFmtId="0" fontId="6" fillId="0" borderId="1" xfId="0" applyFont="1" applyBorder="1" applyAlignment="1">
      <alignment horizontal="center" vertical="top"/>
    </xf>
    <xf numFmtId="0" fontId="0" fillId="0" borderId="1" xfId="0" applyBorder="1" applyAlignment="1">
      <alignment vertical="top" wrapText="1"/>
    </xf>
    <xf numFmtId="0" fontId="0" fillId="0" borderId="1" xfId="0" applyBorder="1" applyAlignment="1">
      <alignment horizontal="center" vertical="top"/>
    </xf>
    <xf numFmtId="0" fontId="6" fillId="0" borderId="1" xfId="0" applyFont="1" applyBorder="1" applyAlignment="1">
      <alignment horizontal="center" vertical="top" wrapText="1"/>
    </xf>
    <xf numFmtId="49" fontId="0" fillId="0" borderId="1" xfId="0" applyNumberFormat="1" applyBorder="1" applyAlignment="1">
      <alignment horizontal="left" vertical="top" wrapText="1"/>
    </xf>
    <xf numFmtId="0" fontId="0" fillId="0" borderId="1" xfId="0" applyBorder="1" applyAlignment="1">
      <alignment horizontal="center" vertical="top" wrapText="1"/>
    </xf>
    <xf numFmtId="1" fontId="0" fillId="0" borderId="1" xfId="0" applyNumberFormat="1" applyBorder="1" applyAlignment="1">
      <alignment horizontal="center" vertical="top" wrapText="1"/>
    </xf>
    <xf numFmtId="0" fontId="0" fillId="0" borderId="1" xfId="0" applyBorder="1"/>
    <xf numFmtId="0" fontId="0" fillId="0" borderId="1" xfId="0" applyBorder="1" applyAlignment="1">
      <alignment wrapText="1"/>
    </xf>
    <xf numFmtId="0" fontId="0" fillId="0" borderId="1" xfId="0" applyBorder="1" applyAlignment="1">
      <alignment vertical="top"/>
    </xf>
    <xf numFmtId="0" fontId="6" fillId="0" borderId="1" xfId="5" applyFont="1" applyBorder="1" applyAlignment="1">
      <alignment horizontal="left" vertical="top" wrapText="1"/>
    </xf>
    <xf numFmtId="0" fontId="0" fillId="2" borderId="0" xfId="0" applyFill="1"/>
    <xf numFmtId="0" fontId="8" fillId="0" borderId="1" xfId="0" applyFont="1" applyBorder="1" applyAlignment="1">
      <alignment vertical="top"/>
    </xf>
    <xf numFmtId="1" fontId="8" fillId="0" borderId="1" xfId="0" applyNumberFormat="1" applyFont="1" applyBorder="1" applyAlignment="1">
      <alignment horizontal="center" vertical="top"/>
    </xf>
    <xf numFmtId="0" fontId="10" fillId="2" borderId="1" xfId="2" applyFont="1" applyFill="1" applyBorder="1" applyAlignment="1">
      <alignment horizontal="left" vertical="top" wrapText="1"/>
    </xf>
    <xf numFmtId="1" fontId="6" fillId="0" borderId="1" xfId="4" applyNumberFormat="1" applyFont="1" applyFill="1" applyBorder="1" applyAlignment="1">
      <alignment horizontal="center" vertical="top"/>
    </xf>
    <xf numFmtId="0" fontId="6" fillId="0" borderId="1" xfId="5" applyFont="1" applyBorder="1" applyAlignment="1">
      <alignment horizontal="center" vertical="top" wrapText="1"/>
    </xf>
    <xf numFmtId="0" fontId="6" fillId="2" borderId="1" xfId="0" applyFont="1" applyFill="1" applyBorder="1" applyAlignment="1">
      <alignment horizontal="left" vertical="top" wrapText="1"/>
    </xf>
    <xf numFmtId="0" fontId="6" fillId="2" borderId="1" xfId="0" applyFont="1" applyFill="1" applyBorder="1" applyAlignment="1">
      <alignment horizontal="center" vertical="top" wrapText="1"/>
    </xf>
    <xf numFmtId="0" fontId="8" fillId="0" borderId="1" xfId="0" applyFont="1" applyBorder="1" applyAlignment="1">
      <alignment vertical="top" wrapText="1"/>
    </xf>
    <xf numFmtId="0" fontId="8" fillId="0" borderId="1" xfId="0" applyFont="1" applyBorder="1" applyAlignment="1">
      <alignment horizontal="left" vertical="top" wrapText="1"/>
    </xf>
    <xf numFmtId="1" fontId="0" fillId="0" borderId="0" xfId="0" applyNumberFormat="1" applyAlignment="1">
      <alignment horizontal="center" vertical="top"/>
    </xf>
    <xf numFmtId="0" fontId="0" fillId="0" borderId="12" xfId="0" applyBorder="1" applyAlignment="1">
      <alignment horizontal="left" vertical="center" wrapText="1"/>
    </xf>
    <xf numFmtId="49" fontId="0" fillId="0" borderId="2" xfId="0" applyNumberFormat="1" applyBorder="1" applyAlignment="1">
      <alignment horizontal="left" vertical="top" wrapText="1"/>
    </xf>
    <xf numFmtId="0" fontId="0" fillId="0" borderId="13" xfId="0" applyBorder="1" applyAlignment="1">
      <alignment horizontal="left" vertical="center" wrapText="1"/>
    </xf>
    <xf numFmtId="0" fontId="0" fillId="0" borderId="1" xfId="0" applyBorder="1" applyAlignment="1">
      <alignment horizontal="left" vertical="center" wrapText="1"/>
    </xf>
    <xf numFmtId="49" fontId="0" fillId="0" borderId="1" xfId="0" applyNumberFormat="1" applyBorder="1" applyAlignment="1">
      <alignment horizontal="center" vertical="top" wrapText="1"/>
    </xf>
    <xf numFmtId="0" fontId="7" fillId="0" borderId="0" xfId="0" applyFont="1" applyAlignment="1">
      <alignment horizontal="center" vertical="top" wrapText="1"/>
    </xf>
    <xf numFmtId="0" fontId="7" fillId="0" borderId="4" xfId="0" applyFont="1" applyBorder="1" applyAlignment="1">
      <alignment horizontal="center" vertical="top" wrapText="1"/>
    </xf>
    <xf numFmtId="0" fontId="0" fillId="0" borderId="0" xfId="0" applyAlignment="1">
      <alignment horizontal="center"/>
    </xf>
    <xf numFmtId="0" fontId="0" fillId="0" borderId="0" xfId="0" applyAlignment="1">
      <alignment horizontal="center" vertical="top" wrapText="1"/>
    </xf>
    <xf numFmtId="0" fontId="12" fillId="0" borderId="2" xfId="0" applyFont="1" applyBorder="1" applyAlignment="1">
      <alignment horizontal="center" vertical="top"/>
    </xf>
    <xf numFmtId="49" fontId="0" fillId="0" borderId="12" xfId="0" applyNumberFormat="1" applyBorder="1" applyAlignment="1">
      <alignment horizontal="left" vertical="top" wrapText="1"/>
    </xf>
    <xf numFmtId="0" fontId="12" fillId="0" borderId="1" xfId="0" applyFont="1" applyBorder="1" applyAlignment="1">
      <alignment horizontal="center" vertical="top"/>
    </xf>
    <xf numFmtId="0" fontId="6" fillId="0" borderId="12" xfId="0" applyFont="1" applyBorder="1" applyAlignment="1">
      <alignment horizontal="center" vertical="top" wrapText="1"/>
    </xf>
    <xf numFmtId="0" fontId="0" fillId="0" borderId="12" xfId="0" applyBorder="1" applyAlignment="1">
      <alignment horizontal="left" vertical="top" wrapText="1"/>
    </xf>
    <xf numFmtId="0" fontId="0" fillId="0" borderId="13" xfId="0" applyBorder="1" applyAlignment="1">
      <alignment horizontal="left" vertical="top" wrapText="1"/>
    </xf>
    <xf numFmtId="0" fontId="0" fillId="0" borderId="2" xfId="0" applyBorder="1" applyAlignment="1">
      <alignment horizontal="center" vertical="top" wrapText="1"/>
    </xf>
    <xf numFmtId="0" fontId="0" fillId="0" borderId="2" xfId="0" applyBorder="1" applyAlignment="1">
      <alignment horizontal="center" vertical="top"/>
    </xf>
    <xf numFmtId="0" fontId="0" fillId="0" borderId="12" xfId="0" applyBorder="1" applyAlignment="1">
      <alignment horizontal="center" vertical="top" wrapText="1"/>
    </xf>
    <xf numFmtId="0" fontId="0" fillId="0" borderId="12" xfId="0" applyBorder="1" applyAlignment="1">
      <alignment horizontal="center" vertical="top"/>
    </xf>
    <xf numFmtId="0" fontId="13" fillId="0" borderId="0" xfId="0" applyFont="1" applyAlignment="1">
      <alignment horizontal="left" vertical="top"/>
    </xf>
    <xf numFmtId="0" fontId="11" fillId="0" borderId="12" xfId="0" applyFont="1" applyBorder="1" applyAlignment="1">
      <alignment horizontal="left" vertical="top" wrapText="1"/>
    </xf>
    <xf numFmtId="0" fontId="0" fillId="0" borderId="13" xfId="0" applyBorder="1" applyAlignment="1">
      <alignment horizontal="center" vertical="top"/>
    </xf>
    <xf numFmtId="0" fontId="1" fillId="2" borderId="0" xfId="0" applyFont="1" applyFill="1" applyAlignment="1">
      <alignment horizontal="center" vertical="top"/>
    </xf>
    <xf numFmtId="0" fontId="1" fillId="0" borderId="1" xfId="0" applyFont="1" applyBorder="1" applyAlignment="1">
      <alignment horizontal="center" vertical="center"/>
    </xf>
    <xf numFmtId="0" fontId="0" fillId="0" borderId="9" xfId="0" applyBorder="1" applyAlignment="1">
      <alignment vertical="top"/>
    </xf>
    <xf numFmtId="0" fontId="0" fillId="0" borderId="10" xfId="0" applyBorder="1" applyAlignment="1">
      <alignment vertical="top" wrapText="1"/>
    </xf>
    <xf numFmtId="0" fontId="0" fillId="0" borderId="1" xfId="0" applyBorder="1" applyAlignment="1">
      <alignment horizontal="center" vertical="center"/>
    </xf>
    <xf numFmtId="0" fontId="0" fillId="0" borderId="1" xfId="0" applyBorder="1" applyAlignment="1">
      <alignment horizontal="center"/>
    </xf>
    <xf numFmtId="0" fontId="1" fillId="0" borderId="1" xfId="0" applyFont="1" applyBorder="1" applyAlignment="1">
      <alignment horizontal="center"/>
    </xf>
    <xf numFmtId="0" fontId="0" fillId="0" borderId="9" xfId="0" applyBorder="1" applyAlignment="1">
      <alignment vertical="top" wrapText="1"/>
    </xf>
    <xf numFmtId="0" fontId="0" fillId="0" borderId="10" xfId="0" applyBorder="1" applyAlignment="1">
      <alignment horizontal="left" vertical="top" wrapText="1"/>
    </xf>
    <xf numFmtId="0" fontId="13" fillId="0" borderId="0" xfId="0" applyFont="1" applyAlignment="1">
      <alignment vertical="top"/>
    </xf>
    <xf numFmtId="0" fontId="1" fillId="0" borderId="5" xfId="0" applyFont="1" applyBorder="1" applyAlignment="1">
      <alignment horizontal="center"/>
    </xf>
    <xf numFmtId="0" fontId="1" fillId="2" borderId="0" xfId="0" applyFont="1" applyFill="1" applyAlignment="1">
      <alignment vertical="top" wrapText="1"/>
    </xf>
    <xf numFmtId="0" fontId="2" fillId="2" borderId="0" xfId="0" applyFont="1" applyFill="1"/>
    <xf numFmtId="0" fontId="1" fillId="2" borderId="0" xfId="0" applyFont="1" applyFill="1" applyAlignment="1">
      <alignment horizontal="left" vertical="top" wrapText="1"/>
    </xf>
    <xf numFmtId="0" fontId="1" fillId="2" borderId="0" xfId="0" applyFont="1" applyFill="1" applyAlignment="1">
      <alignment horizontal="right"/>
    </xf>
    <xf numFmtId="0" fontId="2" fillId="2" borderId="0" xfId="0" applyFont="1" applyFill="1" applyAlignment="1">
      <alignment horizontal="center"/>
    </xf>
    <xf numFmtId="0" fontId="2" fillId="2" borderId="0" xfId="0" applyFont="1" applyFill="1" applyAlignment="1">
      <alignment horizontal="center" vertical="top"/>
    </xf>
    <xf numFmtId="0" fontId="2" fillId="2" borderId="0" xfId="0" applyFont="1" applyFill="1" applyAlignment="1">
      <alignment vertical="top" wrapText="1"/>
    </xf>
    <xf numFmtId="0" fontId="0" fillId="2" borderId="0" xfId="0" applyFill="1" applyAlignment="1">
      <alignment horizontal="center"/>
    </xf>
    <xf numFmtId="0" fontId="1" fillId="2" borderId="0" xfId="0" applyFont="1" applyFill="1" applyAlignment="1">
      <alignment horizontal="left"/>
    </xf>
    <xf numFmtId="0" fontId="1" fillId="2" borderId="0" xfId="0" applyFont="1" applyFill="1"/>
    <xf numFmtId="0" fontId="1" fillId="2" borderId="0" xfId="0" applyFont="1" applyFill="1" applyAlignment="1">
      <alignment horizontal="center"/>
    </xf>
    <xf numFmtId="0" fontId="1" fillId="2" borderId="0" xfId="0" applyFont="1" applyFill="1" applyAlignment="1">
      <alignment horizontal="justify" vertical="top" wrapText="1"/>
    </xf>
    <xf numFmtId="0" fontId="0" fillId="2" borderId="0" xfId="0" applyFill="1" applyAlignment="1">
      <alignment horizontal="center" vertical="top"/>
    </xf>
    <xf numFmtId="0" fontId="0" fillId="2" borderId="0" xfId="0" applyFill="1" applyAlignment="1">
      <alignment vertical="top" wrapText="1"/>
    </xf>
    <xf numFmtId="0" fontId="1" fillId="0" borderId="10" xfId="0" applyFont="1" applyBorder="1" applyAlignment="1">
      <alignment horizontal="center" vertical="top" wrapText="1"/>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0" fillId="0" borderId="11" xfId="0" applyBorder="1" applyAlignment="1">
      <alignment horizontal="left" vertical="top" wrapText="1"/>
    </xf>
    <xf numFmtId="0" fontId="1" fillId="0" borderId="0" xfId="0" applyFont="1" applyAlignment="1">
      <alignment horizontal="center" vertical="top"/>
    </xf>
    <xf numFmtId="0" fontId="0" fillId="0" borderId="0" xfId="0" applyAlignment="1">
      <alignment horizontal="center" vertical="top"/>
    </xf>
    <xf numFmtId="0" fontId="2" fillId="0" borderId="0" xfId="0" applyFont="1" applyAlignment="1">
      <alignment horizontal="center" vertical="top"/>
    </xf>
    <xf numFmtId="0" fontId="1" fillId="2" borderId="0" xfId="0" applyFont="1" applyFill="1" applyAlignment="1">
      <alignment horizontal="center" vertical="top"/>
    </xf>
    <xf numFmtId="0" fontId="1" fillId="0" borderId="0" xfId="0" applyFont="1" applyAlignment="1">
      <alignment horizontal="center"/>
    </xf>
    <xf numFmtId="0" fontId="0" fillId="0" borderId="11" xfId="0" applyBorder="1" applyAlignment="1">
      <alignment horizontal="left" vertical="top"/>
    </xf>
    <xf numFmtId="0" fontId="1" fillId="0" borderId="9" xfId="0" applyFont="1" applyBorder="1" applyAlignment="1">
      <alignment horizontal="center" vertical="top"/>
    </xf>
    <xf numFmtId="0" fontId="1" fillId="0" borderId="10" xfId="0" applyFont="1" applyBorder="1" applyAlignment="1">
      <alignment horizontal="center" vertical="top"/>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2" xfId="0" applyFont="1" applyBorder="1" applyAlignment="1">
      <alignment horizontal="center"/>
    </xf>
  </cellXfs>
  <cellStyles count="7">
    <cellStyle name="Comma" xfId="4" builtinId="3"/>
    <cellStyle name="Comma 2" xfId="6" xr:uid="{8A57798C-D2FE-415E-9573-F5D10E6E8732}"/>
    <cellStyle name="Excel Built-in Normal" xfId="3" xr:uid="{0A5F4F49-D6FC-498B-A790-E7C89685C324}"/>
    <cellStyle name="Normal" xfId="0" builtinId="0"/>
    <cellStyle name="Normal 2" xfId="5" xr:uid="{1C726632-EFEA-4DEE-9893-8884B4546EC4}"/>
    <cellStyle name="Normal 3" xfId="2" xr:uid="{B1681E4F-5B66-4DE9-90EB-096F54A48098}"/>
    <cellStyle name="sch-inputs" xfId="1" xr:uid="{B7EE5727-A289-48CD-9C30-0EE739E3E96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900256</xdr:colOff>
      <xdr:row>0</xdr:row>
      <xdr:rowOff>0</xdr:rowOff>
    </xdr:from>
    <xdr:to>
      <xdr:col>1</xdr:col>
      <xdr:colOff>1755775</xdr:colOff>
      <xdr:row>3</xdr:row>
      <xdr:rowOff>61913</xdr:rowOff>
    </xdr:to>
    <xdr:pic>
      <xdr:nvPicPr>
        <xdr:cNvPr id="2" name="Picture 1">
          <a:extLst>
            <a:ext uri="{FF2B5EF4-FFF2-40B4-BE49-F238E27FC236}">
              <a16:creationId xmlns:a16="http://schemas.microsoft.com/office/drawing/2014/main" id="{CD9F0CC1-4C4E-4A1D-995F-623A50DDA472}"/>
            </a:ext>
          </a:extLst>
        </xdr:cNvPr>
        <xdr:cNvPicPr>
          <a:picLocks noChangeAspect="1"/>
        </xdr:cNvPicPr>
      </xdr:nvPicPr>
      <xdr:blipFill>
        <a:blip xmlns:r="http://schemas.openxmlformats.org/officeDocument/2006/relationships" r:embed="rId1"/>
        <a:stretch>
          <a:fillRect/>
        </a:stretch>
      </xdr:blipFill>
      <xdr:spPr>
        <a:xfrm>
          <a:off x="1594220" y="0"/>
          <a:ext cx="855519" cy="64021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752474</xdr:colOff>
      <xdr:row>0</xdr:row>
      <xdr:rowOff>0</xdr:rowOff>
    </xdr:from>
    <xdr:to>
      <xdr:col>1</xdr:col>
      <xdr:colOff>1362075</xdr:colOff>
      <xdr:row>2</xdr:row>
      <xdr:rowOff>100674</xdr:rowOff>
    </xdr:to>
    <xdr:pic>
      <xdr:nvPicPr>
        <xdr:cNvPr id="2" name="Picture 1">
          <a:extLst>
            <a:ext uri="{FF2B5EF4-FFF2-40B4-BE49-F238E27FC236}">
              <a16:creationId xmlns:a16="http://schemas.microsoft.com/office/drawing/2014/main" id="{BD1748B2-72FA-4488-95DD-06A002C16587}"/>
            </a:ext>
          </a:extLst>
        </xdr:cNvPr>
        <xdr:cNvPicPr>
          <a:picLocks noChangeAspect="1"/>
        </xdr:cNvPicPr>
      </xdr:nvPicPr>
      <xdr:blipFill>
        <a:blip xmlns:r="http://schemas.openxmlformats.org/officeDocument/2006/relationships" r:embed="rId1"/>
        <a:stretch>
          <a:fillRect/>
        </a:stretch>
      </xdr:blipFill>
      <xdr:spPr>
        <a:xfrm>
          <a:off x="1895474" y="0"/>
          <a:ext cx="609601" cy="49119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D738BE-A7AF-44A7-A43A-D87E400B8197}">
  <dimension ref="A1:G132"/>
  <sheetViews>
    <sheetView tabSelected="1" view="pageLayout" topLeftCell="A20" zoomScale="140" zoomScaleNormal="130" zoomScalePageLayoutView="140" workbookViewId="0">
      <selection activeCell="B23" sqref="B23"/>
    </sheetView>
  </sheetViews>
  <sheetFormatPr baseColWidth="10" defaultColWidth="8.7109375" defaultRowHeight="16" x14ac:dyDescent="0.2"/>
  <cols>
    <col min="1" max="1" width="8.28515625" style="9" customWidth="1"/>
    <col min="2" max="2" width="31.7109375" style="8" customWidth="1"/>
    <col min="3" max="3" width="8.42578125" customWidth="1"/>
    <col min="4" max="4" width="9.28515625"/>
    <col min="5" max="5" width="8" customWidth="1"/>
    <col min="6" max="6" width="8.85546875" style="61" customWidth="1"/>
    <col min="7" max="7" width="9.28515625" style="61" customWidth="1"/>
  </cols>
  <sheetData>
    <row r="1" spans="1:7" x14ac:dyDescent="0.2">
      <c r="A1" s="105" t="s">
        <v>0</v>
      </c>
      <c r="B1" s="105"/>
      <c r="C1" s="105"/>
      <c r="D1" s="105"/>
      <c r="E1" s="105"/>
      <c r="F1" s="105"/>
      <c r="G1" s="105"/>
    </row>
    <row r="2" spans="1:7" x14ac:dyDescent="0.2">
      <c r="A2" s="106" t="s">
        <v>258</v>
      </c>
      <c r="B2" s="106"/>
      <c r="C2" s="106"/>
      <c r="D2" s="106"/>
      <c r="E2" s="106"/>
      <c r="F2" s="106"/>
      <c r="G2" s="106"/>
    </row>
    <row r="3" spans="1:7" x14ac:dyDescent="0.2">
      <c r="A3" s="107" t="s">
        <v>259</v>
      </c>
      <c r="B3" s="107"/>
      <c r="C3" s="107"/>
      <c r="D3" s="107"/>
      <c r="E3" s="107"/>
      <c r="F3" s="107"/>
      <c r="G3" s="107"/>
    </row>
    <row r="4" spans="1:7" x14ac:dyDescent="0.2">
      <c r="A4" s="2"/>
      <c r="B4" s="2"/>
      <c r="C4" s="2"/>
      <c r="D4" s="2"/>
      <c r="E4" s="2"/>
      <c r="F4"/>
      <c r="G4"/>
    </row>
    <row r="5" spans="1:7" x14ac:dyDescent="0.2">
      <c r="A5" s="2"/>
      <c r="B5" s="2"/>
      <c r="C5" s="2"/>
      <c r="D5" s="2"/>
      <c r="E5" s="2"/>
      <c r="F5"/>
      <c r="G5"/>
    </row>
    <row r="6" spans="1:7" x14ac:dyDescent="0.2">
      <c r="A6" s="2"/>
      <c r="B6" s="2"/>
      <c r="C6" s="2"/>
      <c r="D6" s="2"/>
      <c r="E6" s="2"/>
      <c r="F6"/>
      <c r="G6"/>
    </row>
    <row r="7" spans="1:7" x14ac:dyDescent="0.2">
      <c r="A7" s="109" t="s">
        <v>51</v>
      </c>
      <c r="B7" s="109"/>
      <c r="C7" s="109"/>
      <c r="D7" s="109"/>
      <c r="E7" s="109"/>
      <c r="F7" s="109"/>
      <c r="G7" s="109"/>
    </row>
    <row r="8" spans="1:7" x14ac:dyDescent="0.2">
      <c r="A8" s="109" t="s">
        <v>434</v>
      </c>
      <c r="B8" s="109"/>
      <c r="C8" s="109"/>
      <c r="D8" s="109"/>
      <c r="E8" s="109"/>
      <c r="F8" s="109"/>
      <c r="G8" s="109"/>
    </row>
    <row r="10" spans="1:7" x14ac:dyDescent="0.2">
      <c r="A10" s="113" t="s">
        <v>53</v>
      </c>
      <c r="B10" s="114"/>
      <c r="C10" s="117" t="s">
        <v>432</v>
      </c>
      <c r="D10" s="117"/>
      <c r="E10" s="86" t="s">
        <v>433</v>
      </c>
      <c r="F10" s="113" t="s">
        <v>54</v>
      </c>
      <c r="G10" s="114"/>
    </row>
    <row r="11" spans="1:7" x14ac:dyDescent="0.2">
      <c r="A11" s="115"/>
      <c r="B11" s="116"/>
      <c r="C11" s="77" t="s">
        <v>8</v>
      </c>
      <c r="D11" s="77" t="s">
        <v>9</v>
      </c>
      <c r="E11" s="77" t="s">
        <v>8</v>
      </c>
      <c r="F11" s="77" t="s">
        <v>8</v>
      </c>
      <c r="G11" s="77" t="s">
        <v>9</v>
      </c>
    </row>
    <row r="12" spans="1:7" x14ac:dyDescent="0.2">
      <c r="A12" s="102"/>
      <c r="B12" s="103" t="s">
        <v>426</v>
      </c>
      <c r="C12" s="77"/>
      <c r="D12" s="77"/>
      <c r="E12" s="77"/>
      <c r="F12" s="77"/>
      <c r="G12" s="77"/>
    </row>
    <row r="13" spans="1:7" ht="17" x14ac:dyDescent="0.2">
      <c r="A13" s="78" t="s">
        <v>3</v>
      </c>
      <c r="B13" s="79" t="s">
        <v>4</v>
      </c>
      <c r="C13" s="80">
        <v>1</v>
      </c>
      <c r="D13" s="80">
        <v>8</v>
      </c>
      <c r="E13" s="80">
        <v>9</v>
      </c>
      <c r="F13" s="77">
        <f>SUM(C13+E13)</f>
        <v>10</v>
      </c>
      <c r="G13" s="77">
        <f>SUM(D13+E13)</f>
        <v>17</v>
      </c>
    </row>
    <row r="14" spans="1:7" ht="34" x14ac:dyDescent="0.2">
      <c r="A14" s="78" t="s">
        <v>10</v>
      </c>
      <c r="B14" s="79" t="s">
        <v>55</v>
      </c>
      <c r="C14" s="80">
        <v>2</v>
      </c>
      <c r="D14" s="80">
        <v>8</v>
      </c>
      <c r="E14" s="80">
        <v>1</v>
      </c>
      <c r="F14" s="77">
        <f t="shared" ref="F14:F37" si="0">SUM(C14+E14)</f>
        <v>3</v>
      </c>
      <c r="G14" s="77">
        <f t="shared" ref="G14:G37" si="1">SUM(D14+E14)</f>
        <v>9</v>
      </c>
    </row>
    <row r="15" spans="1:7" ht="17" x14ac:dyDescent="0.2">
      <c r="A15" s="78" t="s">
        <v>14</v>
      </c>
      <c r="B15" s="79" t="s">
        <v>15</v>
      </c>
      <c r="C15" s="80">
        <v>1</v>
      </c>
      <c r="D15" s="80">
        <v>3</v>
      </c>
      <c r="E15" s="80"/>
      <c r="F15" s="77">
        <f t="shared" si="0"/>
        <v>1</v>
      </c>
      <c r="G15" s="77">
        <f t="shared" si="1"/>
        <v>3</v>
      </c>
    </row>
    <row r="16" spans="1:7" ht="34" x14ac:dyDescent="0.2">
      <c r="A16" s="78" t="s">
        <v>16</v>
      </c>
      <c r="B16" s="79" t="s">
        <v>56</v>
      </c>
      <c r="C16" s="80">
        <v>3</v>
      </c>
      <c r="D16" s="80">
        <v>3</v>
      </c>
      <c r="E16" s="80"/>
      <c r="F16" s="77">
        <f t="shared" si="0"/>
        <v>3</v>
      </c>
      <c r="G16" s="77">
        <f t="shared" si="1"/>
        <v>3</v>
      </c>
    </row>
    <row r="17" spans="1:7" ht="17" x14ac:dyDescent="0.2">
      <c r="A17" s="78" t="s">
        <v>22</v>
      </c>
      <c r="B17" s="79" t="s">
        <v>23</v>
      </c>
      <c r="C17" s="80">
        <v>1</v>
      </c>
      <c r="D17" s="80">
        <v>1</v>
      </c>
      <c r="E17" s="80">
        <v>8</v>
      </c>
      <c r="F17" s="77">
        <f t="shared" si="0"/>
        <v>9</v>
      </c>
      <c r="G17" s="77">
        <f t="shared" si="1"/>
        <v>9</v>
      </c>
    </row>
    <row r="18" spans="1:7" ht="34" x14ac:dyDescent="0.2">
      <c r="A18" s="78" t="s">
        <v>430</v>
      </c>
      <c r="B18" s="79" t="s">
        <v>429</v>
      </c>
      <c r="C18" s="80"/>
      <c r="D18" s="80"/>
      <c r="E18" s="80">
        <v>2</v>
      </c>
      <c r="F18" s="77">
        <f t="shared" si="0"/>
        <v>2</v>
      </c>
      <c r="G18" s="77">
        <f t="shared" si="1"/>
        <v>2</v>
      </c>
    </row>
    <row r="19" spans="1:7" ht="17" x14ac:dyDescent="0.2">
      <c r="A19" s="78" t="s">
        <v>32</v>
      </c>
      <c r="B19" s="84" t="s">
        <v>33</v>
      </c>
      <c r="C19" s="80">
        <v>7</v>
      </c>
      <c r="D19" s="80">
        <v>7</v>
      </c>
      <c r="E19" s="80">
        <v>5</v>
      </c>
      <c r="F19" s="77">
        <f t="shared" si="0"/>
        <v>12</v>
      </c>
      <c r="G19" s="77">
        <f t="shared" si="1"/>
        <v>12</v>
      </c>
    </row>
    <row r="20" spans="1:7" ht="34" x14ac:dyDescent="0.2">
      <c r="A20" s="83" t="s">
        <v>169</v>
      </c>
      <c r="B20" s="79" t="s">
        <v>257</v>
      </c>
      <c r="C20" s="80">
        <v>6</v>
      </c>
      <c r="D20" s="80">
        <v>21</v>
      </c>
      <c r="E20" s="80">
        <v>6</v>
      </c>
      <c r="F20" s="77">
        <f t="shared" si="0"/>
        <v>12</v>
      </c>
      <c r="G20" s="77">
        <f t="shared" si="1"/>
        <v>27</v>
      </c>
    </row>
    <row r="21" spans="1:7" ht="34" x14ac:dyDescent="0.2">
      <c r="A21" s="78" t="s">
        <v>170</v>
      </c>
      <c r="B21" s="79" t="s">
        <v>40</v>
      </c>
      <c r="C21" s="80">
        <v>3</v>
      </c>
      <c r="D21" s="80">
        <v>3</v>
      </c>
      <c r="E21" s="80"/>
      <c r="F21" s="77">
        <f t="shared" si="0"/>
        <v>3</v>
      </c>
      <c r="G21" s="77">
        <f t="shared" si="1"/>
        <v>3</v>
      </c>
    </row>
    <row r="22" spans="1:7" ht="17" x14ac:dyDescent="0.2">
      <c r="A22" s="78" t="s">
        <v>44</v>
      </c>
      <c r="B22" s="79" t="s">
        <v>45</v>
      </c>
      <c r="C22" s="81">
        <v>2</v>
      </c>
      <c r="D22" s="81">
        <v>7</v>
      </c>
      <c r="E22" s="81"/>
      <c r="F22" s="77">
        <f t="shared" si="0"/>
        <v>2</v>
      </c>
      <c r="G22" s="77">
        <f t="shared" si="1"/>
        <v>7</v>
      </c>
    </row>
    <row r="23" spans="1:7" ht="34" x14ac:dyDescent="0.2">
      <c r="A23" s="78"/>
      <c r="B23" s="101" t="s">
        <v>427</v>
      </c>
      <c r="C23" s="81"/>
      <c r="D23" s="81"/>
      <c r="E23" s="81"/>
      <c r="F23" s="77">
        <f t="shared" si="0"/>
        <v>0</v>
      </c>
      <c r="G23" s="77">
        <f t="shared" si="1"/>
        <v>0</v>
      </c>
    </row>
    <row r="24" spans="1:7" ht="34" x14ac:dyDescent="0.2">
      <c r="A24" s="78" t="s">
        <v>18</v>
      </c>
      <c r="B24" s="79" t="s">
        <v>57</v>
      </c>
      <c r="C24" s="80">
        <v>4</v>
      </c>
      <c r="D24" s="80">
        <v>13</v>
      </c>
      <c r="E24" s="80"/>
      <c r="F24" s="77">
        <f t="shared" si="0"/>
        <v>4</v>
      </c>
      <c r="G24" s="77">
        <f t="shared" si="1"/>
        <v>13</v>
      </c>
    </row>
    <row r="25" spans="1:7" ht="17" x14ac:dyDescent="0.2">
      <c r="A25" s="78" t="s">
        <v>20</v>
      </c>
      <c r="B25" s="79" t="s">
        <v>58</v>
      </c>
      <c r="C25" s="80">
        <v>2</v>
      </c>
      <c r="D25" s="80">
        <v>2</v>
      </c>
      <c r="E25" s="80">
        <v>14</v>
      </c>
      <c r="F25" s="77">
        <f t="shared" si="0"/>
        <v>16</v>
      </c>
      <c r="G25" s="77">
        <f t="shared" si="1"/>
        <v>16</v>
      </c>
    </row>
    <row r="26" spans="1:7" ht="17" x14ac:dyDescent="0.2">
      <c r="A26" s="78" t="s">
        <v>34</v>
      </c>
      <c r="B26" s="79" t="s">
        <v>35</v>
      </c>
      <c r="C26" s="80"/>
      <c r="D26" s="80"/>
      <c r="E26" s="80">
        <v>3</v>
      </c>
      <c r="F26" s="77">
        <f t="shared" si="0"/>
        <v>3</v>
      </c>
      <c r="G26" s="77">
        <f t="shared" si="1"/>
        <v>3</v>
      </c>
    </row>
    <row r="27" spans="1:7" ht="34" x14ac:dyDescent="0.2">
      <c r="A27" s="78" t="s">
        <v>36</v>
      </c>
      <c r="B27" s="79" t="s">
        <v>37</v>
      </c>
      <c r="C27" s="80">
        <v>18</v>
      </c>
      <c r="D27" s="80">
        <v>18</v>
      </c>
      <c r="E27" s="80"/>
      <c r="F27" s="77">
        <f t="shared" si="0"/>
        <v>18</v>
      </c>
      <c r="G27" s="77">
        <f t="shared" si="1"/>
        <v>18</v>
      </c>
    </row>
    <row r="28" spans="1:7" ht="17" x14ac:dyDescent="0.2">
      <c r="A28" s="78" t="s">
        <v>38</v>
      </c>
      <c r="B28" s="79" t="s">
        <v>39</v>
      </c>
      <c r="C28" s="80">
        <v>1</v>
      </c>
      <c r="D28" s="80">
        <v>1</v>
      </c>
      <c r="E28" s="80">
        <v>2</v>
      </c>
      <c r="F28" s="77">
        <f t="shared" si="0"/>
        <v>3</v>
      </c>
      <c r="G28" s="77">
        <f t="shared" si="1"/>
        <v>3</v>
      </c>
    </row>
    <row r="29" spans="1:7" ht="17" x14ac:dyDescent="0.2">
      <c r="A29" s="78" t="s">
        <v>41</v>
      </c>
      <c r="B29" s="79" t="s">
        <v>60</v>
      </c>
      <c r="C29" s="81">
        <v>4</v>
      </c>
      <c r="D29" s="81">
        <v>7</v>
      </c>
      <c r="E29" s="81"/>
      <c r="F29" s="77">
        <f t="shared" si="0"/>
        <v>4</v>
      </c>
      <c r="G29" s="77">
        <f t="shared" si="1"/>
        <v>7</v>
      </c>
    </row>
    <row r="30" spans="1:7" ht="51" x14ac:dyDescent="0.2">
      <c r="A30" s="78"/>
      <c r="B30" s="101" t="s">
        <v>428</v>
      </c>
      <c r="C30" s="80"/>
      <c r="D30" s="80"/>
      <c r="E30" s="80"/>
      <c r="F30" s="77">
        <f t="shared" si="0"/>
        <v>0</v>
      </c>
      <c r="G30" s="77">
        <f t="shared" si="1"/>
        <v>0</v>
      </c>
    </row>
    <row r="31" spans="1:7" ht="17" x14ac:dyDescent="0.2">
      <c r="A31" s="78" t="s">
        <v>12</v>
      </c>
      <c r="B31" s="79" t="s">
        <v>13</v>
      </c>
      <c r="C31" s="80">
        <v>3</v>
      </c>
      <c r="D31" s="80">
        <v>9</v>
      </c>
      <c r="E31" s="80"/>
      <c r="F31" s="77">
        <f t="shared" si="0"/>
        <v>3</v>
      </c>
      <c r="G31" s="77">
        <f t="shared" si="1"/>
        <v>9</v>
      </c>
    </row>
    <row r="32" spans="1:7" ht="17" x14ac:dyDescent="0.2">
      <c r="A32" s="78" t="s">
        <v>24</v>
      </c>
      <c r="B32" s="79" t="s">
        <v>25</v>
      </c>
      <c r="C32" s="80">
        <v>4</v>
      </c>
      <c r="D32" s="80">
        <v>11</v>
      </c>
      <c r="E32" s="80"/>
      <c r="F32" s="77">
        <f t="shared" si="0"/>
        <v>4</v>
      </c>
      <c r="G32" s="77">
        <f t="shared" si="1"/>
        <v>11</v>
      </c>
    </row>
    <row r="33" spans="1:7" ht="17" x14ac:dyDescent="0.2">
      <c r="A33" s="78" t="s">
        <v>26</v>
      </c>
      <c r="B33" s="79" t="s">
        <v>59</v>
      </c>
      <c r="C33" s="80"/>
      <c r="D33" s="80"/>
      <c r="E33" s="80">
        <v>11</v>
      </c>
      <c r="F33" s="77">
        <f t="shared" si="0"/>
        <v>11</v>
      </c>
      <c r="G33" s="77">
        <f t="shared" si="1"/>
        <v>11</v>
      </c>
    </row>
    <row r="34" spans="1:7" ht="17" x14ac:dyDescent="0.2">
      <c r="A34" s="78" t="s">
        <v>28</v>
      </c>
      <c r="B34" s="79" t="s">
        <v>29</v>
      </c>
      <c r="C34" s="80">
        <v>1</v>
      </c>
      <c r="D34" s="80">
        <v>1</v>
      </c>
      <c r="E34" s="80">
        <v>1</v>
      </c>
      <c r="F34" s="77">
        <f t="shared" si="0"/>
        <v>2</v>
      </c>
      <c r="G34" s="77">
        <f t="shared" si="1"/>
        <v>2</v>
      </c>
    </row>
    <row r="35" spans="1:7" ht="17" x14ac:dyDescent="0.2">
      <c r="A35" s="78" t="s">
        <v>30</v>
      </c>
      <c r="B35" s="79" t="s">
        <v>31</v>
      </c>
      <c r="C35" s="80">
        <v>3</v>
      </c>
      <c r="D35" s="80">
        <v>10</v>
      </c>
      <c r="E35" s="80"/>
      <c r="F35" s="77">
        <f t="shared" si="0"/>
        <v>3</v>
      </c>
      <c r="G35" s="77">
        <f t="shared" si="1"/>
        <v>10</v>
      </c>
    </row>
    <row r="36" spans="1:7" ht="17" x14ac:dyDescent="0.2">
      <c r="A36" s="78" t="s">
        <v>46</v>
      </c>
      <c r="B36" s="79" t="s">
        <v>47</v>
      </c>
      <c r="C36" s="81">
        <v>1</v>
      </c>
      <c r="D36" s="81">
        <v>3</v>
      </c>
      <c r="E36" s="81"/>
      <c r="F36" s="77">
        <f t="shared" si="0"/>
        <v>1</v>
      </c>
      <c r="G36" s="77">
        <f t="shared" si="1"/>
        <v>3</v>
      </c>
    </row>
    <row r="37" spans="1:7" ht="17" x14ac:dyDescent="0.2">
      <c r="A37" s="78" t="s">
        <v>48</v>
      </c>
      <c r="B37" s="79" t="s">
        <v>49</v>
      </c>
      <c r="C37" s="81">
        <v>2</v>
      </c>
      <c r="D37" s="81">
        <v>4</v>
      </c>
      <c r="E37" s="81"/>
      <c r="F37" s="77">
        <f t="shared" si="0"/>
        <v>2</v>
      </c>
      <c r="G37" s="77">
        <f t="shared" si="1"/>
        <v>4</v>
      </c>
    </row>
    <row r="38" spans="1:7" x14ac:dyDescent="0.2">
      <c r="A38" s="111" t="s">
        <v>61</v>
      </c>
      <c r="B38" s="112"/>
      <c r="C38" s="82">
        <f>SUM(C13:C37)</f>
        <v>69</v>
      </c>
      <c r="D38" s="82">
        <f t="shared" ref="D38:G38" si="2">SUM(D13:D37)</f>
        <v>140</v>
      </c>
      <c r="E38" s="82">
        <f t="shared" si="2"/>
        <v>62</v>
      </c>
      <c r="F38" s="82">
        <f t="shared" si="2"/>
        <v>131</v>
      </c>
      <c r="G38" s="82">
        <f t="shared" si="2"/>
        <v>202</v>
      </c>
    </row>
    <row r="39" spans="1:7" x14ac:dyDescent="0.2">
      <c r="A39" s="85" t="s">
        <v>431</v>
      </c>
    </row>
    <row r="42" spans="1:7" x14ac:dyDescent="0.2">
      <c r="A42" s="7" t="s">
        <v>50</v>
      </c>
      <c r="B42" s="7"/>
      <c r="C42" s="7"/>
      <c r="D42" s="6"/>
      <c r="E42" s="6"/>
      <c r="F42"/>
      <c r="G42"/>
    </row>
    <row r="43" spans="1:7" x14ac:dyDescent="0.2">
      <c r="A43" s="7"/>
      <c r="B43" s="7"/>
      <c r="C43" s="7"/>
      <c r="D43" s="6"/>
      <c r="E43" s="6"/>
      <c r="F43"/>
      <c r="G43"/>
    </row>
    <row r="44" spans="1:7" x14ac:dyDescent="0.2">
      <c r="A44" s="4" t="s">
        <v>261</v>
      </c>
      <c r="B44" s="4"/>
      <c r="C44" s="3"/>
      <c r="D44" s="1"/>
      <c r="E44" s="6"/>
      <c r="F44"/>
      <c r="G44"/>
    </row>
    <row r="45" spans="1:7" x14ac:dyDescent="0.2">
      <c r="A45" s="7" t="s">
        <v>260</v>
      </c>
      <c r="B45" s="7"/>
      <c r="D45" s="6"/>
      <c r="E45" s="6"/>
      <c r="F45"/>
      <c r="G45"/>
    </row>
    <row r="55" spans="1:5" ht="34" x14ac:dyDescent="0.2">
      <c r="A55" s="76" t="s">
        <v>62</v>
      </c>
      <c r="B55" s="87" t="s">
        <v>63</v>
      </c>
      <c r="C55" s="88"/>
      <c r="D55" s="88"/>
      <c r="E55" s="88"/>
    </row>
    <row r="56" spans="1:5" ht="34" x14ac:dyDescent="0.2">
      <c r="A56" s="76" t="s">
        <v>64</v>
      </c>
      <c r="B56" s="89" t="s">
        <v>65</v>
      </c>
      <c r="C56" s="90"/>
      <c r="D56" s="91"/>
      <c r="E56" s="91"/>
    </row>
    <row r="57" spans="1:5" ht="17" x14ac:dyDescent="0.2">
      <c r="A57" s="76" t="s">
        <v>66</v>
      </c>
      <c r="B57" s="87" t="s">
        <v>67</v>
      </c>
      <c r="C57" s="90"/>
      <c r="D57" s="91"/>
      <c r="E57" s="91"/>
    </row>
    <row r="58" spans="1:5" ht="17" x14ac:dyDescent="0.2">
      <c r="A58" s="76" t="s">
        <v>68</v>
      </c>
      <c r="B58" s="87" t="s">
        <v>69</v>
      </c>
      <c r="C58" s="43"/>
      <c r="D58" s="88"/>
      <c r="E58" s="88"/>
    </row>
    <row r="59" spans="1:5" ht="17" x14ac:dyDescent="0.2">
      <c r="A59" s="92" t="s">
        <v>70</v>
      </c>
      <c r="B59" s="93" t="s">
        <v>71</v>
      </c>
      <c r="C59" s="88"/>
      <c r="D59" s="88"/>
      <c r="E59" s="88"/>
    </row>
    <row r="60" spans="1:5" ht="17" x14ac:dyDescent="0.2">
      <c r="A60" s="76" t="s">
        <v>72</v>
      </c>
      <c r="B60" s="87" t="s">
        <v>73</v>
      </c>
      <c r="C60" s="43"/>
      <c r="D60" s="94"/>
      <c r="E60" s="94"/>
    </row>
    <row r="61" spans="1:5" ht="34" x14ac:dyDescent="0.2">
      <c r="A61" s="76" t="s">
        <v>74</v>
      </c>
      <c r="B61" s="87" t="s">
        <v>75</v>
      </c>
      <c r="C61" s="43"/>
      <c r="D61" s="94"/>
      <c r="E61" s="94"/>
    </row>
    <row r="62" spans="1:5" ht="34" x14ac:dyDescent="0.2">
      <c r="A62" s="76" t="s">
        <v>76</v>
      </c>
      <c r="B62" s="89" t="s">
        <v>77</v>
      </c>
      <c r="C62" s="95"/>
      <c r="D62" s="95"/>
      <c r="E62" s="95"/>
    </row>
    <row r="63" spans="1:5" ht="34" x14ac:dyDescent="0.2">
      <c r="A63" s="76" t="s">
        <v>78</v>
      </c>
      <c r="B63" s="89" t="s">
        <v>79</v>
      </c>
      <c r="C63" s="95"/>
      <c r="D63" s="95"/>
      <c r="E63" s="95"/>
    </row>
    <row r="64" spans="1:5" ht="34" x14ac:dyDescent="0.2">
      <c r="A64" s="76" t="s">
        <v>80</v>
      </c>
      <c r="B64" s="89" t="s">
        <v>81</v>
      </c>
      <c r="C64" s="96"/>
      <c r="D64" s="97"/>
      <c r="E64" s="97"/>
    </row>
    <row r="65" spans="1:5" ht="17" x14ac:dyDescent="0.2">
      <c r="A65" s="76" t="s">
        <v>82</v>
      </c>
      <c r="B65" s="87" t="s">
        <v>83</v>
      </c>
      <c r="C65" s="43"/>
      <c r="D65" s="94"/>
      <c r="E65" s="94"/>
    </row>
    <row r="66" spans="1:5" ht="34" x14ac:dyDescent="0.2">
      <c r="A66" s="76" t="s">
        <v>84</v>
      </c>
      <c r="B66" s="87" t="s">
        <v>85</v>
      </c>
      <c r="C66" s="43"/>
      <c r="D66" s="43"/>
      <c r="E66" s="43"/>
    </row>
    <row r="67" spans="1:5" ht="17" x14ac:dyDescent="0.2">
      <c r="A67" s="76" t="s">
        <v>86</v>
      </c>
      <c r="B67" s="87" t="s">
        <v>87</v>
      </c>
      <c r="C67" s="96"/>
      <c r="D67" s="96"/>
      <c r="E67" s="96"/>
    </row>
    <row r="68" spans="1:5" ht="34" x14ac:dyDescent="0.2">
      <c r="A68" s="76" t="s">
        <v>88</v>
      </c>
      <c r="B68" s="89" t="s">
        <v>89</v>
      </c>
      <c r="C68" s="43"/>
      <c r="D68" s="43"/>
      <c r="E68" s="43"/>
    </row>
    <row r="69" spans="1:5" ht="17" x14ac:dyDescent="0.2">
      <c r="A69" s="76" t="s">
        <v>90</v>
      </c>
      <c r="B69" s="89" t="s">
        <v>91</v>
      </c>
      <c r="C69" s="43"/>
      <c r="D69" s="43"/>
      <c r="E69" s="43"/>
    </row>
    <row r="70" spans="1:5" ht="34" x14ac:dyDescent="0.2">
      <c r="A70" s="76" t="s">
        <v>92</v>
      </c>
      <c r="B70" s="93" t="s">
        <v>93</v>
      </c>
      <c r="C70" s="43"/>
      <c r="D70" s="43"/>
      <c r="E70" s="43"/>
    </row>
    <row r="71" spans="1:5" ht="34" x14ac:dyDescent="0.2">
      <c r="A71" s="76" t="s">
        <v>94</v>
      </c>
      <c r="B71" s="87" t="s">
        <v>95</v>
      </c>
      <c r="C71" s="43"/>
      <c r="D71" s="43"/>
      <c r="E71" s="43"/>
    </row>
    <row r="72" spans="1:5" ht="17" x14ac:dyDescent="0.2">
      <c r="A72" s="76" t="s">
        <v>96</v>
      </c>
      <c r="B72" s="87" t="s">
        <v>97</v>
      </c>
      <c r="C72" s="43"/>
      <c r="D72" s="43"/>
      <c r="E72" s="43"/>
    </row>
    <row r="73" spans="1:5" ht="17" x14ac:dyDescent="0.2">
      <c r="A73" s="76" t="s">
        <v>98</v>
      </c>
      <c r="B73" s="87" t="s">
        <v>99</v>
      </c>
      <c r="C73" s="43"/>
      <c r="D73" s="43"/>
      <c r="E73" s="43"/>
    </row>
    <row r="74" spans="1:5" ht="34" x14ac:dyDescent="0.2">
      <c r="A74" s="76" t="s">
        <v>100</v>
      </c>
      <c r="B74" s="87" t="s">
        <v>101</v>
      </c>
      <c r="C74" s="43"/>
      <c r="D74" s="43"/>
      <c r="E74" s="43"/>
    </row>
    <row r="75" spans="1:5" ht="17" x14ac:dyDescent="0.2">
      <c r="A75" s="76" t="s">
        <v>102</v>
      </c>
      <c r="B75" s="89" t="s">
        <v>103</v>
      </c>
      <c r="C75" s="43"/>
      <c r="D75" s="43"/>
      <c r="E75" s="43"/>
    </row>
    <row r="76" spans="1:5" ht="17" x14ac:dyDescent="0.2">
      <c r="A76" s="76" t="s">
        <v>104</v>
      </c>
      <c r="B76" s="98" t="s">
        <v>105</v>
      </c>
      <c r="C76" s="43"/>
      <c r="D76" s="43"/>
      <c r="E76" s="43"/>
    </row>
    <row r="77" spans="1:5" ht="17" x14ac:dyDescent="0.2">
      <c r="A77" s="76" t="s">
        <v>106</v>
      </c>
      <c r="B77" s="87" t="s">
        <v>107</v>
      </c>
      <c r="C77" s="43"/>
      <c r="D77" s="43"/>
      <c r="E77" s="43"/>
    </row>
    <row r="78" spans="1:5" ht="17" x14ac:dyDescent="0.2">
      <c r="A78" s="76" t="s">
        <v>108</v>
      </c>
      <c r="B78" s="87" t="s">
        <v>109</v>
      </c>
      <c r="C78" s="43"/>
      <c r="D78" s="43"/>
      <c r="E78" s="43"/>
    </row>
    <row r="79" spans="1:5" x14ac:dyDescent="0.2">
      <c r="A79" s="99"/>
      <c r="B79" s="100"/>
      <c r="C79" s="43"/>
      <c r="D79" s="43"/>
      <c r="E79" s="43"/>
    </row>
    <row r="80" spans="1:5" x14ac:dyDescent="0.2">
      <c r="A80" s="99"/>
      <c r="B80" s="100"/>
      <c r="C80" s="43"/>
      <c r="D80" s="43"/>
      <c r="E80" s="43"/>
    </row>
    <row r="81" spans="1:5" x14ac:dyDescent="0.2">
      <c r="A81" s="99"/>
      <c r="B81" s="100"/>
      <c r="C81" s="43"/>
      <c r="D81" s="43"/>
      <c r="E81" s="43"/>
    </row>
    <row r="82" spans="1:5" x14ac:dyDescent="0.2">
      <c r="A82" s="99"/>
      <c r="B82" s="100"/>
      <c r="C82" s="43"/>
      <c r="D82" s="43"/>
      <c r="E82" s="43"/>
    </row>
    <row r="83" spans="1:5" x14ac:dyDescent="0.2">
      <c r="A83" s="99"/>
      <c r="B83" s="100"/>
      <c r="C83" s="43"/>
      <c r="D83" s="43"/>
      <c r="E83" s="43"/>
    </row>
    <row r="84" spans="1:5" x14ac:dyDescent="0.2">
      <c r="A84" s="99"/>
      <c r="B84" s="100"/>
      <c r="C84" s="43"/>
      <c r="D84" s="43"/>
      <c r="E84" s="43"/>
    </row>
    <row r="85" spans="1:5" x14ac:dyDescent="0.2">
      <c r="A85" s="99"/>
      <c r="B85" s="100"/>
      <c r="C85" s="43"/>
      <c r="D85" s="43"/>
      <c r="E85" s="43"/>
    </row>
    <row r="86" spans="1:5" x14ac:dyDescent="0.2">
      <c r="A86" s="99"/>
      <c r="B86" s="100"/>
      <c r="C86" s="43"/>
      <c r="D86" s="43"/>
      <c r="E86" s="43"/>
    </row>
    <row r="87" spans="1:5" x14ac:dyDescent="0.2">
      <c r="A87" s="99"/>
      <c r="B87" s="100"/>
      <c r="C87" s="43"/>
      <c r="D87" s="43"/>
      <c r="E87" s="43"/>
    </row>
    <row r="88" spans="1:5" x14ac:dyDescent="0.2">
      <c r="A88" s="99"/>
      <c r="B88" s="100"/>
      <c r="C88" s="43"/>
      <c r="D88" s="43"/>
      <c r="E88" s="43"/>
    </row>
    <row r="89" spans="1:5" x14ac:dyDescent="0.2">
      <c r="A89" s="99"/>
      <c r="B89" s="100"/>
      <c r="C89" s="43"/>
      <c r="D89" s="43"/>
      <c r="E89" s="43"/>
    </row>
    <row r="90" spans="1:5" x14ac:dyDescent="0.2">
      <c r="A90" s="99"/>
      <c r="B90" s="100"/>
      <c r="C90" s="43"/>
      <c r="D90" s="43"/>
      <c r="E90" s="43"/>
    </row>
    <row r="91" spans="1:5" x14ac:dyDescent="0.2">
      <c r="A91" s="99"/>
      <c r="B91" s="100"/>
      <c r="C91" s="43"/>
      <c r="D91" s="43"/>
      <c r="E91" s="43"/>
    </row>
    <row r="92" spans="1:5" x14ac:dyDescent="0.2">
      <c r="A92" s="99"/>
      <c r="B92" s="100"/>
      <c r="C92" s="43"/>
      <c r="D92" s="43"/>
      <c r="E92" s="43"/>
    </row>
    <row r="93" spans="1:5" x14ac:dyDescent="0.2">
      <c r="A93" s="99"/>
      <c r="B93" s="100"/>
      <c r="C93" s="43"/>
      <c r="D93" s="43"/>
      <c r="E93" s="43"/>
    </row>
    <row r="94" spans="1:5" x14ac:dyDescent="0.2">
      <c r="A94" s="99"/>
      <c r="B94" s="100"/>
      <c r="C94" s="43"/>
      <c r="D94" s="43"/>
      <c r="E94" s="43"/>
    </row>
    <row r="95" spans="1:5" x14ac:dyDescent="0.2">
      <c r="A95" s="99"/>
      <c r="B95" s="100"/>
      <c r="C95" s="43"/>
      <c r="D95" s="43"/>
      <c r="E95" s="43"/>
    </row>
    <row r="96" spans="1:5" x14ac:dyDescent="0.2">
      <c r="A96" s="99"/>
      <c r="B96" s="100"/>
      <c r="C96" s="43"/>
      <c r="D96" s="43"/>
      <c r="E96" s="43"/>
    </row>
    <row r="97" spans="1:5" x14ac:dyDescent="0.2">
      <c r="A97" s="99"/>
      <c r="B97" s="100"/>
      <c r="C97" s="43"/>
      <c r="D97" s="43"/>
      <c r="E97" s="43"/>
    </row>
    <row r="98" spans="1:5" x14ac:dyDescent="0.2">
      <c r="A98" s="99"/>
      <c r="B98" s="100"/>
      <c r="C98" s="43"/>
      <c r="D98" s="43"/>
      <c r="E98" s="43"/>
    </row>
    <row r="99" spans="1:5" x14ac:dyDescent="0.2">
      <c r="A99" s="99"/>
      <c r="B99" s="100"/>
      <c r="C99" s="43"/>
      <c r="D99" s="43"/>
      <c r="E99" s="43"/>
    </row>
    <row r="100" spans="1:5" x14ac:dyDescent="0.2">
      <c r="A100" s="99"/>
      <c r="B100" s="100"/>
      <c r="C100" s="43"/>
      <c r="D100" s="43"/>
      <c r="E100" s="43"/>
    </row>
    <row r="101" spans="1:5" x14ac:dyDescent="0.2">
      <c r="A101" s="99"/>
      <c r="B101" s="100"/>
      <c r="C101" s="43"/>
      <c r="D101" s="43"/>
      <c r="E101" s="43"/>
    </row>
    <row r="102" spans="1:5" x14ac:dyDescent="0.2">
      <c r="A102" s="99"/>
      <c r="B102" s="100"/>
      <c r="C102" s="43"/>
      <c r="D102" s="43"/>
      <c r="E102" s="43"/>
    </row>
    <row r="103" spans="1:5" x14ac:dyDescent="0.2">
      <c r="A103" s="99"/>
      <c r="B103" s="100"/>
      <c r="C103" s="43"/>
      <c r="D103" s="43"/>
      <c r="E103" s="43"/>
    </row>
    <row r="104" spans="1:5" x14ac:dyDescent="0.2">
      <c r="A104" s="99"/>
      <c r="B104" s="100"/>
      <c r="C104" s="43"/>
      <c r="D104" s="43"/>
      <c r="E104" s="43"/>
    </row>
    <row r="105" spans="1:5" x14ac:dyDescent="0.2">
      <c r="A105" s="99"/>
      <c r="B105" s="100"/>
      <c r="C105" s="43"/>
      <c r="D105" s="43"/>
      <c r="E105" s="43"/>
    </row>
    <row r="106" spans="1:5" x14ac:dyDescent="0.2">
      <c r="A106" s="99"/>
      <c r="B106" s="100"/>
      <c r="C106" s="43"/>
      <c r="D106" s="43"/>
      <c r="E106" s="43"/>
    </row>
    <row r="107" spans="1:5" x14ac:dyDescent="0.2">
      <c r="A107" s="99"/>
      <c r="B107" s="100"/>
      <c r="C107" s="43"/>
      <c r="D107" s="43"/>
      <c r="E107" s="43"/>
    </row>
    <row r="108" spans="1:5" x14ac:dyDescent="0.2">
      <c r="A108" s="99"/>
      <c r="B108" s="100"/>
      <c r="C108" s="43"/>
      <c r="D108" s="43"/>
      <c r="E108" s="43"/>
    </row>
    <row r="109" spans="1:5" x14ac:dyDescent="0.2">
      <c r="A109" s="99"/>
      <c r="B109" s="100"/>
      <c r="C109" s="43"/>
      <c r="D109" s="43"/>
      <c r="E109" s="43"/>
    </row>
    <row r="110" spans="1:5" x14ac:dyDescent="0.2">
      <c r="A110" s="99"/>
      <c r="B110" s="100"/>
      <c r="C110" s="43"/>
      <c r="D110" s="43"/>
      <c r="E110" s="43"/>
    </row>
    <row r="111" spans="1:5" x14ac:dyDescent="0.2">
      <c r="A111" s="99"/>
      <c r="B111" s="100"/>
      <c r="C111" s="43"/>
      <c r="D111" s="43"/>
      <c r="E111" s="43"/>
    </row>
    <row r="112" spans="1:5" x14ac:dyDescent="0.2">
      <c r="A112" s="99"/>
      <c r="B112" s="100"/>
      <c r="C112" s="43"/>
      <c r="D112" s="43"/>
      <c r="E112" s="43"/>
    </row>
    <row r="113" spans="1:5" x14ac:dyDescent="0.2">
      <c r="A113" s="99"/>
      <c r="B113" s="100"/>
      <c r="C113" s="43"/>
      <c r="D113" s="43"/>
      <c r="E113" s="43"/>
    </row>
    <row r="114" spans="1:5" x14ac:dyDescent="0.2">
      <c r="A114" s="99"/>
      <c r="B114" s="100"/>
      <c r="C114" s="43"/>
      <c r="D114" s="43"/>
      <c r="E114" s="43"/>
    </row>
    <row r="115" spans="1:5" x14ac:dyDescent="0.2">
      <c r="A115" s="99"/>
      <c r="B115" s="100"/>
      <c r="C115" s="43"/>
      <c r="D115" s="43"/>
      <c r="E115" s="43"/>
    </row>
    <row r="116" spans="1:5" x14ac:dyDescent="0.2">
      <c r="A116" s="99"/>
      <c r="B116" s="100"/>
      <c r="C116" s="43"/>
      <c r="D116" s="43"/>
      <c r="E116" s="43"/>
    </row>
    <row r="117" spans="1:5" ht="17" x14ac:dyDescent="0.2">
      <c r="A117" s="9" t="s">
        <v>110</v>
      </c>
      <c r="B117" s="8" t="s">
        <v>111</v>
      </c>
      <c r="C117" s="10"/>
      <c r="D117" s="10"/>
      <c r="E117" s="10"/>
    </row>
    <row r="118" spans="1:5" ht="17" x14ac:dyDescent="0.2">
      <c r="A118" s="9" t="s">
        <v>112</v>
      </c>
      <c r="B118" s="8" t="s">
        <v>113</v>
      </c>
      <c r="C118" s="10"/>
      <c r="D118" s="10"/>
      <c r="E118" s="10"/>
    </row>
    <row r="119" spans="1:5" ht="17" x14ac:dyDescent="0.2">
      <c r="A119" s="9" t="s">
        <v>114</v>
      </c>
      <c r="B119" s="8" t="s">
        <v>115</v>
      </c>
    </row>
    <row r="120" spans="1:5" ht="17" x14ac:dyDescent="0.2">
      <c r="A120" s="9" t="s">
        <v>116</v>
      </c>
      <c r="B120" s="8" t="s">
        <v>117</v>
      </c>
      <c r="C120" s="10"/>
      <c r="D120" s="10"/>
      <c r="E120" s="10"/>
    </row>
    <row r="121" spans="1:5" ht="17" x14ac:dyDescent="0.2">
      <c r="A121" s="9" t="s">
        <v>118</v>
      </c>
      <c r="B121" s="8" t="s">
        <v>119</v>
      </c>
      <c r="C121" s="10"/>
      <c r="D121" s="10"/>
      <c r="E121" s="10"/>
    </row>
    <row r="122" spans="1:5" ht="17" x14ac:dyDescent="0.2">
      <c r="A122" s="9" t="s">
        <v>120</v>
      </c>
      <c r="B122" s="8" t="s">
        <v>121</v>
      </c>
      <c r="C122" s="10"/>
      <c r="D122" s="10"/>
      <c r="E122" s="10"/>
    </row>
    <row r="123" spans="1:5" ht="34" x14ac:dyDescent="0.2">
      <c r="A123" s="9" t="s">
        <v>122</v>
      </c>
      <c r="B123" s="8" t="s">
        <v>123</v>
      </c>
      <c r="C123" s="10"/>
      <c r="D123" s="10"/>
      <c r="E123" s="10"/>
    </row>
    <row r="124" spans="1:5" ht="17" x14ac:dyDescent="0.2">
      <c r="A124" s="9" t="s">
        <v>124</v>
      </c>
      <c r="B124" s="8" t="s">
        <v>125</v>
      </c>
      <c r="C124" s="10"/>
      <c r="D124" s="10"/>
      <c r="E124" s="10"/>
    </row>
    <row r="125" spans="1:5" ht="17" x14ac:dyDescent="0.2">
      <c r="A125" s="9" t="s">
        <v>126</v>
      </c>
      <c r="B125" s="8" t="s">
        <v>127</v>
      </c>
      <c r="C125" s="10"/>
      <c r="D125" s="10"/>
      <c r="E125" s="10"/>
    </row>
    <row r="126" spans="1:5" ht="17" x14ac:dyDescent="0.2">
      <c r="A126" s="9" t="s">
        <v>128</v>
      </c>
      <c r="B126" s="8" t="s">
        <v>129</v>
      </c>
      <c r="C126" s="10"/>
      <c r="D126" s="10"/>
      <c r="E126" s="10"/>
    </row>
    <row r="127" spans="1:5" ht="17" x14ac:dyDescent="0.2">
      <c r="A127" s="9" t="s">
        <v>130</v>
      </c>
      <c r="B127" s="8" t="s">
        <v>131</v>
      </c>
      <c r="C127" s="10"/>
      <c r="D127" s="10"/>
      <c r="E127" s="10"/>
    </row>
    <row r="128" spans="1:5" ht="17" x14ac:dyDescent="0.2">
      <c r="A128" s="9" t="s">
        <v>132</v>
      </c>
      <c r="B128" s="8" t="s">
        <v>133</v>
      </c>
      <c r="C128" s="10"/>
      <c r="D128" s="10"/>
      <c r="E128" s="10"/>
    </row>
    <row r="129" spans="1:5" ht="17" x14ac:dyDescent="0.2">
      <c r="A129" s="9" t="s">
        <v>134</v>
      </c>
      <c r="B129" s="8" t="s">
        <v>135</v>
      </c>
      <c r="C129" s="10" t="s">
        <v>136</v>
      </c>
      <c r="D129" s="10"/>
      <c r="E129" s="10"/>
    </row>
    <row r="130" spans="1:5" ht="17" x14ac:dyDescent="0.2">
      <c r="A130" s="9" t="s">
        <v>137</v>
      </c>
      <c r="B130" s="8" t="s">
        <v>138</v>
      </c>
      <c r="C130" s="10"/>
      <c r="D130" s="10"/>
      <c r="E130" s="10"/>
    </row>
    <row r="131" spans="1:5" ht="17" x14ac:dyDescent="0.2">
      <c r="A131" s="9" t="s">
        <v>139</v>
      </c>
      <c r="B131" s="8" t="s">
        <v>140</v>
      </c>
      <c r="C131" s="10"/>
      <c r="D131" s="10"/>
      <c r="E131" s="10"/>
    </row>
    <row r="132" spans="1:5" ht="17" x14ac:dyDescent="0.2">
      <c r="A132" s="9" t="s">
        <v>141</v>
      </c>
      <c r="B132" s="8" t="s">
        <v>142</v>
      </c>
    </row>
  </sheetData>
  <sortState xmlns:xlrd2="http://schemas.microsoft.com/office/spreadsheetml/2017/richdata2" ref="A24:G37">
    <sortCondition ref="A24:A37"/>
  </sortState>
  <mergeCells count="9">
    <mergeCell ref="A1:G1"/>
    <mergeCell ref="A2:G2"/>
    <mergeCell ref="A3:G3"/>
    <mergeCell ref="A38:B38"/>
    <mergeCell ref="A7:G7"/>
    <mergeCell ref="A8:G8"/>
    <mergeCell ref="A10:B11"/>
    <mergeCell ref="C10:D10"/>
    <mergeCell ref="F10:G10"/>
  </mergeCells>
  <pageMargins left="0.25" right="0.25" top="0.75" bottom="0.5" header="0.5" footer="0.5"/>
  <pageSetup paperSize="20000" orientation="portrait" horizontalDpi="0" verticalDpi="0"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C5DC5-4D34-4846-9C8F-237F55240C53}">
  <dimension ref="A1:E349"/>
  <sheetViews>
    <sheetView view="pageLayout" topLeftCell="A7" zoomScale="130" zoomScaleNormal="100" zoomScalePageLayoutView="130" workbookViewId="0">
      <selection activeCell="C58" sqref="C58"/>
    </sheetView>
  </sheetViews>
  <sheetFormatPr baseColWidth="10" defaultColWidth="8.7109375" defaultRowHeight="16" x14ac:dyDescent="0.2"/>
  <cols>
    <col min="1" max="1" width="13.7109375" customWidth="1"/>
    <col min="2" max="2" width="18" customWidth="1"/>
    <col min="3" max="3" width="41.5703125" customWidth="1"/>
    <col min="4" max="4" width="7.42578125" style="61" customWidth="1"/>
    <col min="5" max="5" width="6" customWidth="1"/>
  </cols>
  <sheetData>
    <row r="1" spans="1:5" x14ac:dyDescent="0.2">
      <c r="A1" s="105" t="s">
        <v>0</v>
      </c>
      <c r="B1" s="105"/>
      <c r="C1" s="105"/>
      <c r="D1" s="105"/>
      <c r="E1" s="105"/>
    </row>
    <row r="2" spans="1:5" x14ac:dyDescent="0.2">
      <c r="A2" s="106" t="s">
        <v>258</v>
      </c>
      <c r="B2" s="106"/>
      <c r="C2" s="106"/>
      <c r="D2" s="106"/>
      <c r="E2" s="106"/>
    </row>
    <row r="3" spans="1:5" x14ac:dyDescent="0.2">
      <c r="A3" s="107" t="s">
        <v>259</v>
      </c>
      <c r="B3" s="107"/>
      <c r="C3" s="107"/>
      <c r="D3" s="107"/>
      <c r="E3" s="107"/>
    </row>
    <row r="4" spans="1:5" x14ac:dyDescent="0.2">
      <c r="A4" s="2"/>
      <c r="B4" s="2"/>
      <c r="C4" s="2"/>
      <c r="D4" s="2"/>
      <c r="E4" s="2"/>
    </row>
    <row r="5" spans="1:5" x14ac:dyDescent="0.2">
      <c r="A5" s="2"/>
      <c r="B5" s="2"/>
      <c r="C5" s="2"/>
      <c r="D5" s="2"/>
      <c r="E5" s="2"/>
    </row>
    <row r="6" spans="1:5" x14ac:dyDescent="0.2">
      <c r="A6" s="105" t="s">
        <v>1</v>
      </c>
      <c r="B6" s="105"/>
      <c r="C6" s="105"/>
      <c r="D6" s="105"/>
      <c r="E6" s="105"/>
    </row>
    <row r="7" spans="1:5" x14ac:dyDescent="0.2">
      <c r="A7" s="108" t="s">
        <v>52</v>
      </c>
      <c r="B7" s="108"/>
      <c r="C7" s="108"/>
      <c r="D7" s="108"/>
      <c r="E7" s="108"/>
    </row>
    <row r="10" spans="1:5" x14ac:dyDescent="0.2">
      <c r="A10" s="109" t="s">
        <v>426</v>
      </c>
      <c r="B10" s="109"/>
      <c r="C10" s="109"/>
      <c r="D10" s="109"/>
      <c r="E10" s="109"/>
    </row>
    <row r="11" spans="1:5" x14ac:dyDescent="0.2">
      <c r="A11" s="10" t="s">
        <v>3</v>
      </c>
      <c r="B11" s="10" t="s">
        <v>4</v>
      </c>
      <c r="D11" s="5"/>
      <c r="E11" s="10"/>
    </row>
    <row r="12" spans="1:5" ht="54" customHeight="1" x14ac:dyDescent="0.2">
      <c r="A12" s="104" t="s">
        <v>145</v>
      </c>
      <c r="B12" s="104"/>
      <c r="C12" s="104"/>
      <c r="D12" s="104"/>
      <c r="E12" s="104"/>
    </row>
    <row r="13" spans="1:5" ht="17" x14ac:dyDescent="0.2">
      <c r="A13" s="11" t="s">
        <v>5</v>
      </c>
      <c r="B13" s="11" t="s">
        <v>393</v>
      </c>
      <c r="C13" s="12" t="s">
        <v>6</v>
      </c>
      <c r="D13" s="12" t="s">
        <v>143</v>
      </c>
      <c r="E13" s="11" t="s">
        <v>7</v>
      </c>
    </row>
    <row r="14" spans="1:5" ht="17" x14ac:dyDescent="0.2">
      <c r="A14" s="26"/>
      <c r="B14" s="26"/>
      <c r="C14" s="27" t="s">
        <v>144</v>
      </c>
      <c r="D14" s="58"/>
      <c r="E14" s="29"/>
    </row>
    <row r="15" spans="1:5" ht="17" x14ac:dyDescent="0.2">
      <c r="A15" s="33"/>
      <c r="B15" s="33" t="s">
        <v>232</v>
      </c>
      <c r="C15" s="33" t="s">
        <v>231</v>
      </c>
      <c r="D15" s="34">
        <v>2024</v>
      </c>
      <c r="E15" s="34">
        <v>1</v>
      </c>
    </row>
    <row r="16" spans="1:5" ht="34" x14ac:dyDescent="0.2">
      <c r="A16" s="33"/>
      <c r="B16" s="33" t="s">
        <v>236</v>
      </c>
      <c r="C16" s="33" t="s">
        <v>235</v>
      </c>
      <c r="D16" s="37">
        <v>2023</v>
      </c>
      <c r="E16" s="37">
        <v>1</v>
      </c>
    </row>
    <row r="17" spans="1:5" ht="34" x14ac:dyDescent="0.2">
      <c r="A17" s="33"/>
      <c r="B17" s="33" t="s">
        <v>216</v>
      </c>
      <c r="C17" s="41" t="s">
        <v>215</v>
      </c>
      <c r="D17" s="34">
        <v>2022</v>
      </c>
      <c r="E17" s="34">
        <v>1</v>
      </c>
    </row>
    <row r="18" spans="1:5" ht="17" x14ac:dyDescent="0.2">
      <c r="A18" s="33"/>
      <c r="B18" s="33"/>
      <c r="C18" s="33" t="s">
        <v>240</v>
      </c>
      <c r="D18" s="34">
        <v>2022</v>
      </c>
      <c r="E18" s="34">
        <v>1</v>
      </c>
    </row>
    <row r="19" spans="1:5" ht="34" x14ac:dyDescent="0.2">
      <c r="A19" s="33"/>
      <c r="B19" s="33" t="s">
        <v>238</v>
      </c>
      <c r="C19" s="33" t="s">
        <v>237</v>
      </c>
      <c r="D19" s="34">
        <v>2022</v>
      </c>
      <c r="E19" s="34">
        <v>1</v>
      </c>
    </row>
    <row r="20" spans="1:5" ht="17" x14ac:dyDescent="0.2">
      <c r="A20" s="33"/>
      <c r="B20" s="33" t="s">
        <v>214</v>
      </c>
      <c r="C20" s="33" t="s">
        <v>213</v>
      </c>
      <c r="D20" s="34">
        <v>2022</v>
      </c>
      <c r="E20" s="34">
        <v>1</v>
      </c>
    </row>
    <row r="21" spans="1:5" ht="34" x14ac:dyDescent="0.2">
      <c r="A21" s="33"/>
      <c r="B21" s="33" t="s">
        <v>242</v>
      </c>
      <c r="C21" s="33" t="s">
        <v>241</v>
      </c>
      <c r="D21" s="34">
        <v>2021</v>
      </c>
      <c r="E21" s="34">
        <v>1</v>
      </c>
    </row>
    <row r="22" spans="1:5" ht="34" x14ac:dyDescent="0.2">
      <c r="A22" s="33"/>
      <c r="B22" s="33" t="s">
        <v>226</v>
      </c>
      <c r="C22" s="33" t="s">
        <v>225</v>
      </c>
      <c r="D22" s="34">
        <v>2021</v>
      </c>
      <c r="E22" s="34">
        <v>1</v>
      </c>
    </row>
    <row r="23" spans="1:5" ht="17" x14ac:dyDescent="0.2">
      <c r="A23" s="33"/>
      <c r="B23" s="33" t="s">
        <v>246</v>
      </c>
      <c r="C23" s="33" t="s">
        <v>245</v>
      </c>
      <c r="D23" s="34">
        <v>2016</v>
      </c>
      <c r="E23" s="32">
        <v>1</v>
      </c>
    </row>
    <row r="24" spans="1:5" ht="17" x14ac:dyDescent="0.2">
      <c r="A24" s="30"/>
      <c r="B24" s="30"/>
      <c r="C24" s="27" t="s">
        <v>2</v>
      </c>
      <c r="D24" s="35"/>
      <c r="E24" s="32"/>
    </row>
    <row r="25" spans="1:5" x14ac:dyDescent="0.2">
      <c r="A25" s="44" t="s">
        <v>285</v>
      </c>
      <c r="B25" s="44" t="s">
        <v>286</v>
      </c>
      <c r="C25" s="44" t="s">
        <v>287</v>
      </c>
      <c r="D25" s="45">
        <v>2016</v>
      </c>
      <c r="E25" s="45">
        <v>8</v>
      </c>
    </row>
    <row r="26" spans="1:5" ht="17" x14ac:dyDescent="0.2">
      <c r="A26" s="13"/>
      <c r="B26" s="13"/>
      <c r="C26" s="14" t="s">
        <v>8</v>
      </c>
      <c r="D26" s="59"/>
      <c r="E26" s="15">
        <f>COUNT(E14:E25)</f>
        <v>10</v>
      </c>
    </row>
    <row r="27" spans="1:5" ht="17" x14ac:dyDescent="0.2">
      <c r="A27" s="7"/>
      <c r="B27" s="7"/>
      <c r="C27" s="14" t="s">
        <v>9</v>
      </c>
      <c r="D27" s="59"/>
      <c r="E27" s="25">
        <f>SUM(E14:E25)</f>
        <v>17</v>
      </c>
    </row>
    <row r="28" spans="1:5" x14ac:dyDescent="0.2">
      <c r="A28" s="7"/>
      <c r="B28" s="7"/>
      <c r="C28" s="14"/>
      <c r="D28" s="59"/>
      <c r="E28" s="1"/>
    </row>
    <row r="29" spans="1:5" x14ac:dyDescent="0.2">
      <c r="A29" s="7"/>
      <c r="B29" s="7"/>
      <c r="C29" s="14"/>
      <c r="D29" s="59"/>
      <c r="E29" s="9"/>
    </row>
    <row r="30" spans="1:5" x14ac:dyDescent="0.2">
      <c r="A30" s="10" t="s">
        <v>10</v>
      </c>
      <c r="B30" s="10" t="s">
        <v>11</v>
      </c>
      <c r="D30" s="5"/>
      <c r="E30" s="10"/>
    </row>
    <row r="31" spans="1:5" x14ac:dyDescent="0.2">
      <c r="A31" s="104" t="s">
        <v>146</v>
      </c>
      <c r="B31" s="104"/>
      <c r="C31" s="104"/>
      <c r="D31" s="104"/>
      <c r="E31" s="104"/>
    </row>
    <row r="32" spans="1:5" ht="17" x14ac:dyDescent="0.2">
      <c r="A32" s="11" t="s">
        <v>5</v>
      </c>
      <c r="B32" s="11" t="s">
        <v>393</v>
      </c>
      <c r="C32" s="12" t="s">
        <v>6</v>
      </c>
      <c r="D32" s="12" t="s">
        <v>143</v>
      </c>
      <c r="E32" s="11" t="s">
        <v>7</v>
      </c>
    </row>
    <row r="33" spans="1:5" ht="17" x14ac:dyDescent="0.2">
      <c r="A33" s="26"/>
      <c r="B33" s="26"/>
      <c r="C33" s="27" t="s">
        <v>144</v>
      </c>
      <c r="D33" s="58"/>
      <c r="E33" s="29"/>
    </row>
    <row r="34" spans="1:5" ht="51" x14ac:dyDescent="0.2">
      <c r="A34" s="41"/>
      <c r="B34" s="41"/>
      <c r="C34" s="33" t="s">
        <v>227</v>
      </c>
      <c r="D34" s="34">
        <v>2020</v>
      </c>
      <c r="E34" s="34">
        <v>1</v>
      </c>
    </row>
    <row r="35" spans="1:5" ht="17" x14ac:dyDescent="0.2">
      <c r="A35" s="30"/>
      <c r="B35" s="30"/>
      <c r="C35" s="27" t="s">
        <v>2</v>
      </c>
      <c r="D35" s="35"/>
      <c r="E35" s="32"/>
    </row>
    <row r="36" spans="1:5" ht="34" x14ac:dyDescent="0.2">
      <c r="A36" s="51" t="s">
        <v>303</v>
      </c>
      <c r="B36" s="44" t="s">
        <v>304</v>
      </c>
      <c r="C36" s="51" t="s">
        <v>305</v>
      </c>
      <c r="D36" s="45">
        <v>2024</v>
      </c>
      <c r="E36" s="45">
        <v>3</v>
      </c>
    </row>
    <row r="37" spans="1:5" ht="34" x14ac:dyDescent="0.2">
      <c r="A37" s="51" t="s">
        <v>306</v>
      </c>
      <c r="B37" s="44" t="s">
        <v>301</v>
      </c>
      <c r="C37" s="52" t="s">
        <v>302</v>
      </c>
      <c r="D37" s="45">
        <v>2017</v>
      </c>
      <c r="E37" s="45">
        <v>5</v>
      </c>
    </row>
    <row r="38" spans="1:5" ht="17" x14ac:dyDescent="0.2">
      <c r="A38" s="13"/>
      <c r="B38" s="13"/>
      <c r="C38" s="14" t="s">
        <v>8</v>
      </c>
      <c r="D38" s="59"/>
      <c r="E38" s="15">
        <f>COUNT(E33:E37)</f>
        <v>3</v>
      </c>
    </row>
    <row r="39" spans="1:5" ht="17" x14ac:dyDescent="0.2">
      <c r="A39" s="7"/>
      <c r="B39" s="7"/>
      <c r="C39" s="14" t="s">
        <v>9</v>
      </c>
      <c r="D39" s="59"/>
      <c r="E39" s="25">
        <f>SUM(E33:E37)</f>
        <v>9</v>
      </c>
    </row>
    <row r="40" spans="1:5" x14ac:dyDescent="0.2">
      <c r="A40" s="7"/>
      <c r="B40" s="7"/>
      <c r="C40" s="14"/>
      <c r="D40" s="59"/>
      <c r="E40" s="25"/>
    </row>
    <row r="41" spans="1:5" x14ac:dyDescent="0.2">
      <c r="A41" s="7"/>
      <c r="B41" s="7"/>
      <c r="C41" s="14"/>
      <c r="D41" s="59"/>
      <c r="E41" s="25"/>
    </row>
    <row r="42" spans="1:5" x14ac:dyDescent="0.2">
      <c r="A42" s="7"/>
      <c r="B42" s="7"/>
      <c r="C42" s="14"/>
      <c r="D42" s="59"/>
      <c r="E42" s="25"/>
    </row>
    <row r="43" spans="1:5" x14ac:dyDescent="0.2">
      <c r="A43" s="7"/>
      <c r="B43" s="7"/>
      <c r="C43" s="14"/>
      <c r="D43" s="59"/>
      <c r="E43" s="25"/>
    </row>
    <row r="44" spans="1:5" x14ac:dyDescent="0.2">
      <c r="A44" s="7"/>
      <c r="B44" s="7"/>
      <c r="C44" s="14"/>
      <c r="D44" s="59"/>
      <c r="E44" s="25"/>
    </row>
    <row r="45" spans="1:5" x14ac:dyDescent="0.2">
      <c r="A45" s="10" t="s">
        <v>12</v>
      </c>
      <c r="B45" s="10" t="s">
        <v>13</v>
      </c>
      <c r="D45" s="5"/>
      <c r="E45" s="10"/>
    </row>
    <row r="46" spans="1:5" x14ac:dyDescent="0.2">
      <c r="A46" s="104" t="s">
        <v>162</v>
      </c>
      <c r="B46" s="104"/>
      <c r="C46" s="104"/>
      <c r="D46" s="104"/>
      <c r="E46" s="104"/>
    </row>
    <row r="47" spans="1:5" ht="17" x14ac:dyDescent="0.2">
      <c r="A47" s="11" t="s">
        <v>5</v>
      </c>
      <c r="B47" s="11" t="s">
        <v>393</v>
      </c>
      <c r="C47" s="12" t="s">
        <v>6</v>
      </c>
      <c r="D47" s="12" t="s">
        <v>143</v>
      </c>
      <c r="E47" s="11" t="s">
        <v>7</v>
      </c>
    </row>
    <row r="48" spans="1:5" ht="17" x14ac:dyDescent="0.2">
      <c r="A48" s="30"/>
      <c r="B48" s="30"/>
      <c r="C48" s="27" t="s">
        <v>2</v>
      </c>
      <c r="D48" s="35"/>
      <c r="E48" s="32"/>
    </row>
    <row r="49" spans="1:5" ht="17" x14ac:dyDescent="0.2">
      <c r="A49" s="44" t="s">
        <v>343</v>
      </c>
      <c r="B49" s="44" t="s">
        <v>344</v>
      </c>
      <c r="C49" s="52" t="s">
        <v>345</v>
      </c>
      <c r="D49" s="45">
        <v>2022</v>
      </c>
      <c r="E49" s="45">
        <v>7</v>
      </c>
    </row>
    <row r="50" spans="1:5" ht="34" x14ac:dyDescent="0.2">
      <c r="A50" s="44" t="s">
        <v>339</v>
      </c>
      <c r="B50" s="44" t="s">
        <v>340</v>
      </c>
      <c r="C50" s="52" t="s">
        <v>341</v>
      </c>
      <c r="D50" s="45">
        <v>2022</v>
      </c>
      <c r="E50" s="45">
        <v>1</v>
      </c>
    </row>
    <row r="51" spans="1:5" ht="34" x14ac:dyDescent="0.2">
      <c r="A51" s="44" t="s">
        <v>336</v>
      </c>
      <c r="B51" s="44" t="s">
        <v>337</v>
      </c>
      <c r="C51" s="52" t="s">
        <v>338</v>
      </c>
      <c r="D51" s="45">
        <v>2017</v>
      </c>
      <c r="E51" s="45">
        <v>1</v>
      </c>
    </row>
    <row r="52" spans="1:5" ht="17" x14ac:dyDescent="0.2">
      <c r="A52" s="7"/>
      <c r="B52" s="7"/>
      <c r="C52" s="14" t="s">
        <v>8</v>
      </c>
      <c r="D52" s="59"/>
      <c r="E52" s="1">
        <v>10</v>
      </c>
    </row>
    <row r="53" spans="1:5" ht="17" x14ac:dyDescent="0.2">
      <c r="A53" s="7"/>
      <c r="B53" s="7"/>
      <c r="C53" s="14" t="s">
        <v>9</v>
      </c>
      <c r="D53" s="59"/>
      <c r="E53" s="1">
        <v>25</v>
      </c>
    </row>
    <row r="54" spans="1:5" x14ac:dyDescent="0.2">
      <c r="A54" s="7"/>
      <c r="B54" s="7"/>
      <c r="C54" s="14"/>
      <c r="D54" s="59"/>
      <c r="E54" s="1"/>
    </row>
    <row r="55" spans="1:5" x14ac:dyDescent="0.2">
      <c r="A55" s="7"/>
      <c r="B55" s="7"/>
      <c r="C55" s="14"/>
      <c r="D55" s="59"/>
      <c r="E55" s="9"/>
    </row>
    <row r="56" spans="1:5" x14ac:dyDescent="0.2">
      <c r="A56" s="10" t="s">
        <v>14</v>
      </c>
      <c r="B56" s="10" t="s">
        <v>15</v>
      </c>
      <c r="D56" s="5"/>
      <c r="E56" s="10"/>
    </row>
    <row r="57" spans="1:5" x14ac:dyDescent="0.2">
      <c r="A57" s="104" t="s">
        <v>147</v>
      </c>
      <c r="B57" s="104"/>
      <c r="C57" s="104"/>
      <c r="D57" s="104"/>
      <c r="E57" s="104"/>
    </row>
    <row r="58" spans="1:5" ht="17" x14ac:dyDescent="0.2">
      <c r="A58" s="11" t="s">
        <v>5</v>
      </c>
      <c r="B58" s="11" t="s">
        <v>393</v>
      </c>
      <c r="C58" s="12" t="s">
        <v>6</v>
      </c>
      <c r="D58" s="12" t="s">
        <v>143</v>
      </c>
      <c r="E58" s="11" t="s">
        <v>7</v>
      </c>
    </row>
    <row r="59" spans="1:5" ht="17" x14ac:dyDescent="0.2">
      <c r="A59" s="30"/>
      <c r="B59" s="30"/>
      <c r="C59" s="27" t="s">
        <v>2</v>
      </c>
      <c r="D59" s="35"/>
      <c r="E59" s="32"/>
    </row>
    <row r="60" spans="1:5" ht="17" x14ac:dyDescent="0.2">
      <c r="A60" s="44" t="s">
        <v>359</v>
      </c>
      <c r="B60" s="44" t="s">
        <v>284</v>
      </c>
      <c r="C60" s="52" t="s">
        <v>360</v>
      </c>
      <c r="D60" s="45">
        <v>2022</v>
      </c>
      <c r="E60" s="45">
        <v>3</v>
      </c>
    </row>
    <row r="61" spans="1:5" ht="17" x14ac:dyDescent="0.2">
      <c r="A61" s="16"/>
      <c r="B61" s="16"/>
      <c r="C61" s="17" t="s">
        <v>8</v>
      </c>
      <c r="D61" s="60"/>
      <c r="E61" s="18">
        <v>1</v>
      </c>
    </row>
    <row r="62" spans="1:5" ht="17" x14ac:dyDescent="0.2">
      <c r="A62" s="7"/>
      <c r="B62" s="7"/>
      <c r="C62" s="14" t="s">
        <v>9</v>
      </c>
      <c r="D62" s="59"/>
      <c r="E62" s="1">
        <v>3</v>
      </c>
    </row>
    <row r="63" spans="1:5" x14ac:dyDescent="0.2">
      <c r="A63" s="7"/>
      <c r="B63" s="7"/>
      <c r="C63" s="14"/>
      <c r="D63" s="59"/>
      <c r="E63" s="9"/>
    </row>
    <row r="64" spans="1:5" x14ac:dyDescent="0.2">
      <c r="A64" s="7"/>
      <c r="B64" s="7"/>
      <c r="C64" s="14"/>
      <c r="D64" s="59"/>
      <c r="E64" s="9"/>
    </row>
    <row r="65" spans="1:5" x14ac:dyDescent="0.2">
      <c r="A65" s="10" t="s">
        <v>16</v>
      </c>
      <c r="B65" s="10" t="s">
        <v>17</v>
      </c>
      <c r="D65" s="5"/>
      <c r="E65" s="10"/>
    </row>
    <row r="66" spans="1:5" x14ac:dyDescent="0.2">
      <c r="A66" s="104" t="s">
        <v>148</v>
      </c>
      <c r="B66" s="104"/>
      <c r="C66" s="104"/>
      <c r="D66" s="104"/>
      <c r="E66" s="104"/>
    </row>
    <row r="67" spans="1:5" ht="17" x14ac:dyDescent="0.2">
      <c r="A67" s="11" t="s">
        <v>5</v>
      </c>
      <c r="B67" s="11" t="s">
        <v>393</v>
      </c>
      <c r="C67" s="12" t="s">
        <v>6</v>
      </c>
      <c r="D67" s="12" t="s">
        <v>143</v>
      </c>
      <c r="E67" s="11" t="s">
        <v>7</v>
      </c>
    </row>
    <row r="68" spans="1:5" ht="17" x14ac:dyDescent="0.2">
      <c r="A68" s="26"/>
      <c r="B68" s="26"/>
      <c r="C68" s="27" t="s">
        <v>144</v>
      </c>
      <c r="D68" s="58"/>
      <c r="E68" s="29"/>
    </row>
    <row r="69" spans="1:5" ht="17" x14ac:dyDescent="0.2">
      <c r="A69" s="33"/>
      <c r="B69" s="33" t="s">
        <v>212</v>
      </c>
      <c r="C69" s="33" t="s">
        <v>239</v>
      </c>
      <c r="D69" s="34">
        <v>2022</v>
      </c>
      <c r="E69" s="34">
        <v>1</v>
      </c>
    </row>
    <row r="70" spans="1:5" ht="17" x14ac:dyDescent="0.2">
      <c r="A70" s="33"/>
      <c r="B70" s="33" t="s">
        <v>212</v>
      </c>
      <c r="C70" s="33" t="s">
        <v>211</v>
      </c>
      <c r="D70" s="34">
        <v>2019</v>
      </c>
      <c r="E70" s="34">
        <v>1</v>
      </c>
    </row>
    <row r="71" spans="1:5" ht="34" x14ac:dyDescent="0.2">
      <c r="A71" s="33"/>
      <c r="B71" s="33" t="s">
        <v>177</v>
      </c>
      <c r="C71" s="33" t="s">
        <v>176</v>
      </c>
      <c r="D71" s="34">
        <v>2016</v>
      </c>
      <c r="E71" s="34">
        <v>1</v>
      </c>
    </row>
    <row r="72" spans="1:5" ht="17" x14ac:dyDescent="0.2">
      <c r="A72" s="19"/>
      <c r="B72" s="19"/>
      <c r="C72" s="17" t="s">
        <v>8</v>
      </c>
      <c r="D72" s="60"/>
      <c r="E72" s="18">
        <v>4</v>
      </c>
    </row>
    <row r="73" spans="1:5" ht="17" x14ac:dyDescent="0.2">
      <c r="A73" s="7"/>
      <c r="B73" s="7"/>
      <c r="C73" s="14" t="s">
        <v>9</v>
      </c>
      <c r="D73" s="59"/>
      <c r="E73" s="1">
        <v>4</v>
      </c>
    </row>
    <row r="74" spans="1:5" x14ac:dyDescent="0.2">
      <c r="A74" s="7"/>
      <c r="B74" s="7"/>
      <c r="C74" s="14"/>
      <c r="D74" s="59"/>
      <c r="E74" s="1"/>
    </row>
    <row r="75" spans="1:5" x14ac:dyDescent="0.2">
      <c r="A75" s="10" t="s">
        <v>18</v>
      </c>
      <c r="B75" s="10" t="s">
        <v>19</v>
      </c>
      <c r="D75" s="5"/>
      <c r="E75" s="10"/>
    </row>
    <row r="76" spans="1:5" x14ac:dyDescent="0.2">
      <c r="A76" s="104" t="s">
        <v>156</v>
      </c>
      <c r="B76" s="104"/>
      <c r="C76" s="104"/>
      <c r="D76" s="104"/>
      <c r="E76" s="104"/>
    </row>
    <row r="77" spans="1:5" ht="17" x14ac:dyDescent="0.2">
      <c r="A77" s="11" t="s">
        <v>5</v>
      </c>
      <c r="B77" s="11" t="s">
        <v>393</v>
      </c>
      <c r="C77" s="12" t="s">
        <v>6</v>
      </c>
      <c r="D77" s="12" t="s">
        <v>143</v>
      </c>
      <c r="E77" s="11" t="s">
        <v>7</v>
      </c>
    </row>
    <row r="78" spans="1:5" ht="17" x14ac:dyDescent="0.2">
      <c r="A78" s="30"/>
      <c r="B78" s="30"/>
      <c r="C78" s="27" t="s">
        <v>2</v>
      </c>
      <c r="D78" s="35"/>
      <c r="E78" s="32"/>
    </row>
    <row r="79" spans="1:5" ht="34" x14ac:dyDescent="0.2">
      <c r="A79" s="44" t="s">
        <v>299</v>
      </c>
      <c r="B79" s="51" t="s">
        <v>294</v>
      </c>
      <c r="C79" s="52" t="s">
        <v>300</v>
      </c>
      <c r="D79" s="45">
        <v>2022</v>
      </c>
      <c r="E79" s="45">
        <v>1</v>
      </c>
    </row>
    <row r="80" spans="1:5" ht="34" x14ac:dyDescent="0.2">
      <c r="A80" s="44" t="s">
        <v>310</v>
      </c>
      <c r="B80" s="51" t="s">
        <v>278</v>
      </c>
      <c r="C80" s="52" t="s">
        <v>311</v>
      </c>
      <c r="D80" s="45">
        <v>2020</v>
      </c>
      <c r="E80" s="45">
        <v>4</v>
      </c>
    </row>
    <row r="81" spans="1:5" ht="51" x14ac:dyDescent="0.2">
      <c r="A81" s="44" t="s">
        <v>307</v>
      </c>
      <c r="B81" s="44" t="s">
        <v>308</v>
      </c>
      <c r="C81" s="52" t="s">
        <v>309</v>
      </c>
      <c r="D81" s="45">
        <v>2017</v>
      </c>
      <c r="E81" s="45">
        <v>3</v>
      </c>
    </row>
    <row r="82" spans="1:5" ht="17" x14ac:dyDescent="0.2">
      <c r="A82" s="44" t="s">
        <v>392</v>
      </c>
      <c r="B82" s="44" t="s">
        <v>279</v>
      </c>
      <c r="C82" s="52" t="s">
        <v>280</v>
      </c>
      <c r="D82" s="45">
        <v>2016</v>
      </c>
      <c r="E82" s="45">
        <v>5</v>
      </c>
    </row>
    <row r="83" spans="1:5" ht="17" x14ac:dyDescent="0.2">
      <c r="A83" s="13"/>
      <c r="B83" s="13"/>
      <c r="C83" s="17" t="s">
        <v>8</v>
      </c>
      <c r="D83" s="59"/>
      <c r="E83" s="20">
        <v>4</v>
      </c>
    </row>
    <row r="84" spans="1:5" ht="17" x14ac:dyDescent="0.2">
      <c r="A84" s="7"/>
      <c r="B84" s="7"/>
      <c r="C84" s="14" t="s">
        <v>9</v>
      </c>
      <c r="D84" s="59"/>
      <c r="E84" s="6">
        <v>4</v>
      </c>
    </row>
    <row r="85" spans="1:5" x14ac:dyDescent="0.2">
      <c r="A85" s="10" t="s">
        <v>20</v>
      </c>
      <c r="B85" s="10" t="s">
        <v>21</v>
      </c>
      <c r="D85" s="5"/>
      <c r="E85" s="10"/>
    </row>
    <row r="86" spans="1:5" x14ac:dyDescent="0.2">
      <c r="A86" t="s">
        <v>157</v>
      </c>
    </row>
    <row r="87" spans="1:5" ht="17" x14ac:dyDescent="0.2">
      <c r="A87" s="11" t="s">
        <v>5</v>
      </c>
      <c r="B87" s="11" t="s">
        <v>393</v>
      </c>
      <c r="C87" s="12" t="s">
        <v>6</v>
      </c>
      <c r="D87" s="12" t="s">
        <v>143</v>
      </c>
      <c r="E87" s="11" t="s">
        <v>7</v>
      </c>
    </row>
    <row r="88" spans="1:5" ht="17" x14ac:dyDescent="0.2">
      <c r="A88" s="26"/>
      <c r="B88" s="26"/>
      <c r="C88" s="27" t="s">
        <v>144</v>
      </c>
      <c r="D88" s="58"/>
      <c r="E88" s="29"/>
    </row>
    <row r="89" spans="1:5" ht="34" x14ac:dyDescent="0.2">
      <c r="A89" s="33"/>
      <c r="B89" s="33" t="s">
        <v>222</v>
      </c>
      <c r="C89" s="33" t="s">
        <v>221</v>
      </c>
      <c r="D89" s="37">
        <v>2024</v>
      </c>
      <c r="E89" s="37">
        <v>1</v>
      </c>
    </row>
    <row r="90" spans="1:5" ht="34" x14ac:dyDescent="0.2">
      <c r="A90" s="33"/>
      <c r="B90" s="33" t="s">
        <v>180</v>
      </c>
      <c r="C90" s="33" t="s">
        <v>179</v>
      </c>
      <c r="D90" s="37">
        <v>2024</v>
      </c>
      <c r="E90" s="37">
        <v>1</v>
      </c>
    </row>
    <row r="91" spans="1:5" ht="51" x14ac:dyDescent="0.2">
      <c r="A91" s="33"/>
      <c r="B91" s="33"/>
      <c r="C91" s="33" t="s">
        <v>194</v>
      </c>
      <c r="D91" s="37">
        <v>2024</v>
      </c>
      <c r="E91" s="37">
        <v>1</v>
      </c>
    </row>
    <row r="92" spans="1:5" ht="34" x14ac:dyDescent="0.2">
      <c r="A92" s="33"/>
      <c r="B92" s="33" t="s">
        <v>172</v>
      </c>
      <c r="C92" s="33" t="s">
        <v>171</v>
      </c>
      <c r="D92" s="37">
        <v>2023</v>
      </c>
      <c r="E92" s="37">
        <v>1</v>
      </c>
    </row>
    <row r="93" spans="1:5" ht="17" x14ac:dyDescent="0.2">
      <c r="A93" s="33"/>
      <c r="B93" s="33" t="s">
        <v>244</v>
      </c>
      <c r="C93" s="33" t="s">
        <v>243</v>
      </c>
      <c r="D93" s="37">
        <v>2021</v>
      </c>
      <c r="E93" s="37">
        <v>1</v>
      </c>
    </row>
    <row r="94" spans="1:5" ht="17" x14ac:dyDescent="0.2">
      <c r="A94" s="33"/>
      <c r="B94" s="33" t="s">
        <v>234</v>
      </c>
      <c r="C94" s="33" t="s">
        <v>233</v>
      </c>
      <c r="D94" s="37">
        <v>2021</v>
      </c>
      <c r="E94" s="37">
        <v>1</v>
      </c>
    </row>
    <row r="95" spans="1:5" ht="17" x14ac:dyDescent="0.2">
      <c r="A95" s="33"/>
      <c r="B95" s="33" t="s">
        <v>218</v>
      </c>
      <c r="C95" s="33" t="s">
        <v>217</v>
      </c>
      <c r="D95" s="37">
        <v>2021</v>
      </c>
      <c r="E95" s="37">
        <v>1</v>
      </c>
    </row>
    <row r="96" spans="1:5" ht="17" x14ac:dyDescent="0.2">
      <c r="A96" s="33"/>
      <c r="B96" s="33" t="s">
        <v>224</v>
      </c>
      <c r="C96" s="33" t="s">
        <v>223</v>
      </c>
      <c r="D96" s="37">
        <v>2021</v>
      </c>
      <c r="E96" s="37">
        <v>1</v>
      </c>
    </row>
    <row r="97" spans="1:5" ht="17" x14ac:dyDescent="0.2">
      <c r="A97" s="33"/>
      <c r="B97" s="33" t="s">
        <v>230</v>
      </c>
      <c r="C97" s="33" t="s">
        <v>229</v>
      </c>
      <c r="D97" s="37">
        <v>2021</v>
      </c>
      <c r="E97" s="37">
        <v>1</v>
      </c>
    </row>
    <row r="98" spans="1:5" ht="17" x14ac:dyDescent="0.2">
      <c r="A98" s="33"/>
      <c r="B98" s="33" t="s">
        <v>210</v>
      </c>
      <c r="C98" s="33" t="s">
        <v>209</v>
      </c>
      <c r="D98" s="37">
        <v>2021</v>
      </c>
      <c r="E98" s="37">
        <v>1</v>
      </c>
    </row>
    <row r="99" spans="1:5" ht="17" x14ac:dyDescent="0.2">
      <c r="A99" s="30"/>
      <c r="B99" s="30"/>
      <c r="C99" s="27" t="s">
        <v>2</v>
      </c>
      <c r="D99" s="35"/>
      <c r="E99" s="32"/>
    </row>
    <row r="100" spans="1:5" ht="34" x14ac:dyDescent="0.2">
      <c r="A100" s="44" t="s">
        <v>364</v>
      </c>
      <c r="B100" s="51" t="s">
        <v>365</v>
      </c>
      <c r="C100" s="52" t="s">
        <v>366</v>
      </c>
      <c r="D100" s="45">
        <v>2023</v>
      </c>
      <c r="E100" s="45">
        <v>1</v>
      </c>
    </row>
    <row r="101" spans="1:5" ht="17" x14ac:dyDescent="0.2">
      <c r="A101" s="44" t="s">
        <v>296</v>
      </c>
      <c r="B101" s="51" t="s">
        <v>297</v>
      </c>
      <c r="C101" s="52" t="s">
        <v>298</v>
      </c>
      <c r="D101" s="45">
        <v>2018</v>
      </c>
      <c r="E101" s="45">
        <v>1</v>
      </c>
    </row>
    <row r="102" spans="1:5" ht="17" x14ac:dyDescent="0.2">
      <c r="A102" s="13"/>
      <c r="B102" s="13"/>
      <c r="C102" s="17" t="s">
        <v>8</v>
      </c>
      <c r="D102" s="59"/>
      <c r="E102" s="21">
        <v>9</v>
      </c>
    </row>
    <row r="103" spans="1:5" ht="17" x14ac:dyDescent="0.2">
      <c r="A103" s="7"/>
      <c r="B103" s="7"/>
      <c r="C103" s="14" t="s">
        <v>9</v>
      </c>
      <c r="D103" s="59"/>
      <c r="E103" s="1">
        <v>11</v>
      </c>
    </row>
    <row r="104" spans="1:5" x14ac:dyDescent="0.2">
      <c r="A104" s="7"/>
      <c r="B104" s="7"/>
      <c r="C104" s="14"/>
      <c r="D104" s="59"/>
      <c r="E104" s="9"/>
    </row>
    <row r="105" spans="1:5" x14ac:dyDescent="0.2">
      <c r="A105" s="7"/>
      <c r="B105" s="7"/>
      <c r="C105" s="14"/>
      <c r="D105" s="59"/>
      <c r="E105" s="9"/>
    </row>
    <row r="106" spans="1:5" x14ac:dyDescent="0.2">
      <c r="A106" s="10" t="s">
        <v>22</v>
      </c>
      <c r="B106" s="10" t="s">
        <v>23</v>
      </c>
      <c r="D106" s="5"/>
      <c r="E106" s="10"/>
    </row>
    <row r="107" spans="1:5" x14ac:dyDescent="0.2">
      <c r="A107" s="104" t="s">
        <v>149</v>
      </c>
      <c r="B107" s="104"/>
      <c r="C107" s="104"/>
      <c r="D107" s="104"/>
      <c r="E107" s="104"/>
    </row>
    <row r="108" spans="1:5" ht="17" x14ac:dyDescent="0.2">
      <c r="A108" s="11" t="s">
        <v>5</v>
      </c>
      <c r="B108" s="11" t="s">
        <v>393</v>
      </c>
      <c r="C108" s="12" t="s">
        <v>6</v>
      </c>
      <c r="D108" s="12" t="s">
        <v>143</v>
      </c>
      <c r="E108" s="11" t="s">
        <v>7</v>
      </c>
    </row>
    <row r="109" spans="1:5" ht="17" x14ac:dyDescent="0.2">
      <c r="A109" s="26"/>
      <c r="B109" s="26"/>
      <c r="C109" s="27" t="s">
        <v>144</v>
      </c>
      <c r="D109" s="58"/>
      <c r="E109" s="29"/>
    </row>
    <row r="110" spans="1:5" ht="34" x14ac:dyDescent="0.2">
      <c r="A110" s="33"/>
      <c r="B110" s="33" t="s">
        <v>193</v>
      </c>
      <c r="C110" s="33" t="s">
        <v>192</v>
      </c>
      <c r="D110" s="37">
        <v>2024</v>
      </c>
      <c r="E110" s="37">
        <v>1</v>
      </c>
    </row>
    <row r="111" spans="1:5" ht="34" x14ac:dyDescent="0.2">
      <c r="A111" s="33"/>
      <c r="B111" s="33" t="s">
        <v>193</v>
      </c>
      <c r="C111" s="33" t="s">
        <v>195</v>
      </c>
      <c r="D111" s="37">
        <v>2024</v>
      </c>
      <c r="E111" s="37">
        <v>1</v>
      </c>
    </row>
    <row r="112" spans="1:5" x14ac:dyDescent="0.2">
      <c r="A112" s="33"/>
      <c r="B112" s="33"/>
      <c r="C112" s="41" t="s">
        <v>181</v>
      </c>
      <c r="D112" s="37">
        <v>2024</v>
      </c>
      <c r="E112" s="37">
        <v>1</v>
      </c>
    </row>
    <row r="113" spans="1:5" ht="17" x14ac:dyDescent="0.2">
      <c r="A113" s="33"/>
      <c r="B113" s="33" t="s">
        <v>208</v>
      </c>
      <c r="C113" s="33" t="s">
        <v>207</v>
      </c>
      <c r="D113" s="37">
        <v>2023</v>
      </c>
      <c r="E113" s="37">
        <v>1</v>
      </c>
    </row>
    <row r="114" spans="1:5" ht="17" x14ac:dyDescent="0.2">
      <c r="A114" s="33"/>
      <c r="B114" s="33" t="s">
        <v>191</v>
      </c>
      <c r="C114" s="41" t="s">
        <v>190</v>
      </c>
      <c r="D114" s="37">
        <v>2023</v>
      </c>
      <c r="E114" s="37">
        <v>1</v>
      </c>
    </row>
    <row r="115" spans="1:5" ht="17" x14ac:dyDescent="0.2">
      <c r="A115" s="31"/>
      <c r="B115" s="31"/>
      <c r="C115" s="33" t="s">
        <v>183</v>
      </c>
      <c r="D115" s="37">
        <v>2023</v>
      </c>
      <c r="E115" s="37">
        <v>1</v>
      </c>
    </row>
    <row r="116" spans="1:5" x14ac:dyDescent="0.2">
      <c r="A116" s="33"/>
      <c r="B116" s="33"/>
      <c r="C116" s="41" t="s">
        <v>203</v>
      </c>
      <c r="D116" s="37">
        <v>2021</v>
      </c>
      <c r="E116" s="37">
        <v>1</v>
      </c>
    </row>
    <row r="117" spans="1:5" ht="34" x14ac:dyDescent="0.2">
      <c r="A117" s="33"/>
      <c r="B117" s="33"/>
      <c r="C117" s="33" t="s">
        <v>202</v>
      </c>
      <c r="D117" s="37">
        <v>2021</v>
      </c>
      <c r="E117" s="37">
        <v>1</v>
      </c>
    </row>
    <row r="118" spans="1:5" ht="17" x14ac:dyDescent="0.2">
      <c r="A118" s="30"/>
      <c r="B118" s="30"/>
      <c r="C118" s="27" t="s">
        <v>2</v>
      </c>
      <c r="D118" s="35"/>
      <c r="E118" s="32"/>
    </row>
    <row r="119" spans="1:5" ht="17" x14ac:dyDescent="0.2">
      <c r="A119" s="44" t="s">
        <v>288</v>
      </c>
      <c r="B119" s="44" t="s">
        <v>274</v>
      </c>
      <c r="C119" s="52" t="s">
        <v>289</v>
      </c>
      <c r="D119" s="45">
        <v>2018</v>
      </c>
      <c r="E119" s="45">
        <v>1</v>
      </c>
    </row>
    <row r="120" spans="1:5" ht="17" x14ac:dyDescent="0.2">
      <c r="A120" s="19"/>
      <c r="B120" s="19"/>
      <c r="C120" s="17" t="s">
        <v>8</v>
      </c>
      <c r="D120" s="60"/>
      <c r="E120" s="18">
        <f>COUNT(E110:E119)</f>
        <v>9</v>
      </c>
    </row>
    <row r="121" spans="1:5" ht="17" x14ac:dyDescent="0.2">
      <c r="A121" s="7"/>
      <c r="B121" s="7"/>
      <c r="C121" s="14" t="s">
        <v>9</v>
      </c>
      <c r="D121" s="59"/>
      <c r="E121" s="1">
        <f>SUM(E110:E119)</f>
        <v>9</v>
      </c>
    </row>
    <row r="122" spans="1:5" x14ac:dyDescent="0.2">
      <c r="A122" s="7"/>
      <c r="B122" s="7"/>
      <c r="C122" s="14"/>
      <c r="D122" s="59"/>
      <c r="E122" s="1"/>
    </row>
    <row r="123" spans="1:5" x14ac:dyDescent="0.2">
      <c r="A123" s="7"/>
      <c r="B123" s="7"/>
      <c r="C123" s="14"/>
      <c r="D123" s="59"/>
      <c r="E123" s="1"/>
    </row>
    <row r="124" spans="1:5" x14ac:dyDescent="0.2">
      <c r="A124" s="7"/>
      <c r="B124" s="7"/>
      <c r="C124" s="14"/>
      <c r="D124" s="59"/>
      <c r="E124" s="1"/>
    </row>
    <row r="125" spans="1:5" x14ac:dyDescent="0.2">
      <c r="A125" s="7"/>
      <c r="B125" s="7"/>
      <c r="C125" s="14"/>
      <c r="D125" s="59"/>
      <c r="E125" s="1"/>
    </row>
    <row r="126" spans="1:5" x14ac:dyDescent="0.2">
      <c r="A126" s="7"/>
      <c r="B126" s="7"/>
      <c r="C126" s="14"/>
      <c r="D126" s="59"/>
      <c r="E126" s="1"/>
    </row>
    <row r="127" spans="1:5" x14ac:dyDescent="0.2">
      <c r="A127" s="7"/>
      <c r="B127" s="7"/>
      <c r="C127" s="14"/>
      <c r="D127" s="59"/>
      <c r="E127" s="9"/>
    </row>
    <row r="128" spans="1:5" x14ac:dyDescent="0.2">
      <c r="A128" s="7"/>
      <c r="B128" s="7"/>
      <c r="C128" s="14"/>
      <c r="D128" s="59"/>
      <c r="E128" s="9"/>
    </row>
    <row r="129" spans="1:5" x14ac:dyDescent="0.2">
      <c r="A129" s="10" t="s">
        <v>24</v>
      </c>
      <c r="B129" s="10" t="s">
        <v>25</v>
      </c>
      <c r="D129" s="5"/>
      <c r="E129" s="10"/>
    </row>
    <row r="130" spans="1:5" x14ac:dyDescent="0.2">
      <c r="A130" s="104" t="s">
        <v>163</v>
      </c>
      <c r="B130" s="104"/>
      <c r="C130" s="104"/>
      <c r="D130" s="104"/>
      <c r="E130" s="104"/>
    </row>
    <row r="131" spans="1:5" ht="17" x14ac:dyDescent="0.2">
      <c r="A131" s="11" t="s">
        <v>5</v>
      </c>
      <c r="B131" s="11" t="s">
        <v>393</v>
      </c>
      <c r="C131" s="12" t="s">
        <v>6</v>
      </c>
      <c r="D131" s="12" t="s">
        <v>143</v>
      </c>
      <c r="E131" s="11" t="s">
        <v>7</v>
      </c>
    </row>
    <row r="132" spans="1:5" ht="17" x14ac:dyDescent="0.2">
      <c r="A132" s="30"/>
      <c r="B132" s="30"/>
      <c r="C132" s="27" t="s">
        <v>2</v>
      </c>
      <c r="D132" s="35"/>
      <c r="E132" s="32"/>
    </row>
    <row r="133" spans="1:5" ht="34" x14ac:dyDescent="0.2">
      <c r="A133" s="51" t="s">
        <v>303</v>
      </c>
      <c r="B133" s="51" t="s">
        <v>304</v>
      </c>
      <c r="C133" s="52" t="s">
        <v>305</v>
      </c>
      <c r="D133" s="45">
        <v>2024</v>
      </c>
      <c r="E133" s="45">
        <v>3</v>
      </c>
    </row>
    <row r="134" spans="1:5" ht="51" x14ac:dyDescent="0.2">
      <c r="A134" s="51" t="s">
        <v>333</v>
      </c>
      <c r="B134" s="51" t="s">
        <v>334</v>
      </c>
      <c r="C134" s="52" t="s">
        <v>335</v>
      </c>
      <c r="D134" s="45">
        <v>2023</v>
      </c>
      <c r="E134" s="45">
        <v>2</v>
      </c>
    </row>
    <row r="135" spans="1:5" ht="34" x14ac:dyDescent="0.2">
      <c r="A135" s="51" t="s">
        <v>306</v>
      </c>
      <c r="B135" s="51" t="s">
        <v>301</v>
      </c>
      <c r="C135" s="52" t="s">
        <v>302</v>
      </c>
      <c r="D135" s="45">
        <v>2017</v>
      </c>
      <c r="E135" s="45">
        <v>5</v>
      </c>
    </row>
    <row r="136" spans="1:5" ht="51" x14ac:dyDescent="0.2">
      <c r="A136" s="51" t="s">
        <v>361</v>
      </c>
      <c r="B136" s="51" t="s">
        <v>362</v>
      </c>
      <c r="C136" s="52" t="s">
        <v>363</v>
      </c>
      <c r="D136" s="45">
        <v>2016</v>
      </c>
      <c r="E136" s="45">
        <v>1</v>
      </c>
    </row>
    <row r="137" spans="1:5" ht="17" x14ac:dyDescent="0.2">
      <c r="A137" s="7"/>
      <c r="B137" s="7"/>
      <c r="C137" s="14" t="s">
        <v>8</v>
      </c>
      <c r="D137" s="59"/>
      <c r="E137" s="1">
        <f>COUNT(E133:E136)</f>
        <v>4</v>
      </c>
    </row>
    <row r="138" spans="1:5" ht="17" x14ac:dyDescent="0.2">
      <c r="A138" s="7"/>
      <c r="B138" s="7"/>
      <c r="C138" s="14" t="s">
        <v>9</v>
      </c>
      <c r="D138" s="59"/>
      <c r="E138" s="25">
        <f>SUM(E133:E136)</f>
        <v>11</v>
      </c>
    </row>
    <row r="139" spans="1:5" x14ac:dyDescent="0.2">
      <c r="A139" s="7"/>
      <c r="B139" s="7"/>
      <c r="C139" s="14"/>
      <c r="D139" s="59"/>
      <c r="E139" s="53"/>
    </row>
    <row r="140" spans="1:5" x14ac:dyDescent="0.2">
      <c r="A140" s="10" t="s">
        <v>26</v>
      </c>
      <c r="B140" s="10" t="s">
        <v>27</v>
      </c>
      <c r="D140" s="5"/>
      <c r="E140" s="10"/>
    </row>
    <row r="141" spans="1:5" x14ac:dyDescent="0.2">
      <c r="A141" s="104" t="s">
        <v>164</v>
      </c>
      <c r="B141" s="104"/>
      <c r="C141" s="104"/>
      <c r="D141" s="104"/>
      <c r="E141" s="104"/>
    </row>
    <row r="142" spans="1:5" ht="17" x14ac:dyDescent="0.2">
      <c r="A142" s="11" t="s">
        <v>5</v>
      </c>
      <c r="B142" s="11" t="s">
        <v>393</v>
      </c>
      <c r="C142" s="12" t="s">
        <v>6</v>
      </c>
      <c r="D142" s="12" t="s">
        <v>143</v>
      </c>
      <c r="E142" s="11" t="s">
        <v>7</v>
      </c>
    </row>
    <row r="143" spans="1:5" ht="17" x14ac:dyDescent="0.2">
      <c r="A143" s="26"/>
      <c r="B143" s="26"/>
      <c r="C143" s="27" t="s">
        <v>144</v>
      </c>
      <c r="D143" s="58"/>
      <c r="E143" s="29"/>
    </row>
    <row r="144" spans="1:5" ht="17" x14ac:dyDescent="0.2">
      <c r="A144" s="33"/>
      <c r="B144" s="33" t="s">
        <v>220</v>
      </c>
      <c r="C144" s="33" t="s">
        <v>219</v>
      </c>
      <c r="D144" s="37">
        <v>2024</v>
      </c>
      <c r="E144" s="37">
        <v>1</v>
      </c>
    </row>
    <row r="145" spans="1:5" ht="17" x14ac:dyDescent="0.2">
      <c r="A145" s="33"/>
      <c r="B145" s="33" t="s">
        <v>201</v>
      </c>
      <c r="C145" s="33" t="s">
        <v>200</v>
      </c>
      <c r="D145" s="37">
        <v>2024</v>
      </c>
      <c r="E145" s="37">
        <v>1</v>
      </c>
    </row>
    <row r="146" spans="1:5" ht="34" x14ac:dyDescent="0.2">
      <c r="A146" s="33"/>
      <c r="B146" s="33" t="s">
        <v>199</v>
      </c>
      <c r="C146" s="33" t="s">
        <v>198</v>
      </c>
      <c r="D146" s="37">
        <v>2024</v>
      </c>
      <c r="E146" s="37">
        <v>1</v>
      </c>
    </row>
    <row r="147" spans="1:5" ht="34" x14ac:dyDescent="0.2">
      <c r="A147" s="33"/>
      <c r="B147" s="33"/>
      <c r="C147" s="33" t="s">
        <v>196</v>
      </c>
      <c r="D147" s="37">
        <v>2024</v>
      </c>
      <c r="E147" s="37">
        <v>1</v>
      </c>
    </row>
    <row r="148" spans="1:5" ht="34" x14ac:dyDescent="0.2">
      <c r="A148" s="33"/>
      <c r="B148" s="33" t="s">
        <v>186</v>
      </c>
      <c r="C148" s="33" t="s">
        <v>185</v>
      </c>
      <c r="D148" s="37">
        <v>2024</v>
      </c>
      <c r="E148" s="37">
        <v>1</v>
      </c>
    </row>
    <row r="149" spans="1:5" ht="34" x14ac:dyDescent="0.2">
      <c r="A149" s="33"/>
      <c r="B149" s="33" t="s">
        <v>175</v>
      </c>
      <c r="C149" s="33" t="s">
        <v>174</v>
      </c>
      <c r="D149" s="37">
        <v>2024</v>
      </c>
      <c r="E149" s="37">
        <v>1</v>
      </c>
    </row>
    <row r="150" spans="1:5" ht="17" x14ac:dyDescent="0.2">
      <c r="A150" s="33"/>
      <c r="B150" s="33" t="s">
        <v>206</v>
      </c>
      <c r="C150" s="33" t="s">
        <v>205</v>
      </c>
      <c r="D150" s="37">
        <v>2023</v>
      </c>
      <c r="E150" s="37">
        <v>1</v>
      </c>
    </row>
    <row r="151" spans="1:5" ht="34" x14ac:dyDescent="0.2">
      <c r="A151" s="33"/>
      <c r="B151" s="33"/>
      <c r="C151" s="33" t="s">
        <v>189</v>
      </c>
      <c r="D151" s="37">
        <v>2023</v>
      </c>
      <c r="E151" s="37">
        <v>1</v>
      </c>
    </row>
    <row r="152" spans="1:5" ht="34" x14ac:dyDescent="0.2">
      <c r="A152" s="31"/>
      <c r="B152" s="31"/>
      <c r="C152" s="33" t="s">
        <v>184</v>
      </c>
      <c r="D152" s="37">
        <v>2023</v>
      </c>
      <c r="E152" s="37">
        <v>1</v>
      </c>
    </row>
    <row r="153" spans="1:5" ht="34" x14ac:dyDescent="0.2">
      <c r="A153" s="33"/>
      <c r="B153" s="33"/>
      <c r="C153" s="33" t="s">
        <v>204</v>
      </c>
      <c r="D153" s="37">
        <v>2016</v>
      </c>
      <c r="E153" s="37">
        <v>1</v>
      </c>
    </row>
    <row r="154" spans="1:5" ht="17" x14ac:dyDescent="0.2">
      <c r="A154" s="31"/>
      <c r="B154" s="31"/>
      <c r="C154" s="33" t="s">
        <v>228</v>
      </c>
      <c r="D154" s="37">
        <v>2014</v>
      </c>
      <c r="E154" s="37">
        <v>1</v>
      </c>
    </row>
    <row r="155" spans="1:5" ht="17" x14ac:dyDescent="0.2">
      <c r="A155" s="7"/>
      <c r="B155" s="7"/>
      <c r="C155" s="14" t="s">
        <v>8</v>
      </c>
      <c r="D155" s="59"/>
      <c r="E155" s="1">
        <f>COUNT(E144:E154)</f>
        <v>11</v>
      </c>
    </row>
    <row r="156" spans="1:5" ht="17" x14ac:dyDescent="0.2">
      <c r="A156" s="7"/>
      <c r="B156" s="7"/>
      <c r="C156" s="14" t="s">
        <v>9</v>
      </c>
      <c r="D156" s="59"/>
      <c r="E156" s="1">
        <f>SUM(E144:E154)</f>
        <v>11</v>
      </c>
    </row>
    <row r="157" spans="1:5" x14ac:dyDescent="0.2">
      <c r="A157" s="7"/>
      <c r="B157" s="7"/>
      <c r="C157" s="14"/>
      <c r="D157" s="59"/>
      <c r="E157" s="1"/>
    </row>
    <row r="158" spans="1:5" x14ac:dyDescent="0.2">
      <c r="A158" s="10" t="s">
        <v>28</v>
      </c>
      <c r="B158" s="10" t="s">
        <v>29</v>
      </c>
      <c r="D158" s="5"/>
      <c r="E158" s="10"/>
    </row>
    <row r="159" spans="1:5" x14ac:dyDescent="0.2">
      <c r="A159" s="104" t="s">
        <v>165</v>
      </c>
      <c r="B159" s="104"/>
      <c r="C159" s="104"/>
      <c r="D159" s="104"/>
      <c r="E159" s="104"/>
    </row>
    <row r="160" spans="1:5" ht="17" x14ac:dyDescent="0.2">
      <c r="A160" s="11" t="s">
        <v>5</v>
      </c>
      <c r="B160" s="11" t="s">
        <v>393</v>
      </c>
      <c r="C160" s="12" t="s">
        <v>6</v>
      </c>
      <c r="D160" s="12" t="s">
        <v>143</v>
      </c>
      <c r="E160" s="11" t="s">
        <v>7</v>
      </c>
    </row>
    <row r="161" spans="1:5" ht="17" x14ac:dyDescent="0.2">
      <c r="A161" s="26"/>
      <c r="B161" s="26"/>
      <c r="C161" s="27" t="s">
        <v>144</v>
      </c>
      <c r="D161" s="58"/>
      <c r="E161" s="29"/>
    </row>
    <row r="162" spans="1:5" ht="34" x14ac:dyDescent="0.2">
      <c r="A162" s="33"/>
      <c r="B162" s="33" t="s">
        <v>188</v>
      </c>
      <c r="C162" s="33" t="s">
        <v>187</v>
      </c>
      <c r="D162" s="34">
        <v>2023</v>
      </c>
      <c r="E162" s="34">
        <v>1</v>
      </c>
    </row>
    <row r="163" spans="1:5" ht="17" x14ac:dyDescent="0.2">
      <c r="A163" s="30"/>
      <c r="B163" s="30"/>
      <c r="C163" s="27" t="s">
        <v>2</v>
      </c>
      <c r="D163" s="35"/>
      <c r="E163" s="32"/>
    </row>
    <row r="164" spans="1:5" ht="34" x14ac:dyDescent="0.2">
      <c r="A164" s="44" t="s">
        <v>293</v>
      </c>
      <c r="B164" s="51" t="s">
        <v>294</v>
      </c>
      <c r="C164" s="52" t="s">
        <v>295</v>
      </c>
      <c r="D164" s="45">
        <v>2022</v>
      </c>
      <c r="E164" s="45">
        <v>1</v>
      </c>
    </row>
    <row r="165" spans="1:5" ht="17" x14ac:dyDescent="0.2">
      <c r="A165" s="13"/>
      <c r="B165" s="13"/>
      <c r="C165" s="14" t="s">
        <v>8</v>
      </c>
      <c r="D165" s="59"/>
      <c r="E165" s="21">
        <f>COUNT(E162:E164)</f>
        <v>2</v>
      </c>
    </row>
    <row r="166" spans="1:5" ht="17" x14ac:dyDescent="0.2">
      <c r="A166" s="7"/>
      <c r="B166" s="7"/>
      <c r="C166" s="14" t="s">
        <v>9</v>
      </c>
      <c r="D166" s="59"/>
      <c r="E166" s="1">
        <f>SUM(E162:E164)</f>
        <v>2</v>
      </c>
    </row>
    <row r="167" spans="1:5" x14ac:dyDescent="0.2">
      <c r="A167" s="10" t="s">
        <v>30</v>
      </c>
      <c r="B167" s="10" t="s">
        <v>31</v>
      </c>
      <c r="D167" s="5"/>
      <c r="E167" s="10"/>
    </row>
    <row r="168" spans="1:5" x14ac:dyDescent="0.2">
      <c r="A168" s="110" t="s">
        <v>166</v>
      </c>
      <c r="B168" s="110"/>
      <c r="C168" s="110"/>
      <c r="D168" s="110"/>
      <c r="E168" s="110"/>
    </row>
    <row r="169" spans="1:5" ht="17" x14ac:dyDescent="0.2">
      <c r="A169" s="11" t="s">
        <v>5</v>
      </c>
      <c r="B169" s="11" t="s">
        <v>393</v>
      </c>
      <c r="C169" s="12" t="s">
        <v>6</v>
      </c>
      <c r="D169" s="12" t="s">
        <v>143</v>
      </c>
      <c r="E169" s="11" t="s">
        <v>7</v>
      </c>
    </row>
    <row r="170" spans="1:5" ht="17" x14ac:dyDescent="0.2">
      <c r="A170" s="30"/>
      <c r="B170" s="30"/>
      <c r="C170" s="27" t="s">
        <v>2</v>
      </c>
      <c r="D170" s="35"/>
      <c r="E170" s="32"/>
    </row>
    <row r="171" spans="1:5" ht="51" x14ac:dyDescent="0.2">
      <c r="A171" s="51" t="s">
        <v>290</v>
      </c>
      <c r="B171" s="44" t="s">
        <v>291</v>
      </c>
      <c r="C171" s="52" t="s">
        <v>292</v>
      </c>
      <c r="D171" s="45">
        <v>2025</v>
      </c>
      <c r="E171" s="45">
        <v>3</v>
      </c>
    </row>
    <row r="172" spans="1:5" ht="34" x14ac:dyDescent="0.2">
      <c r="A172" s="51" t="s">
        <v>368</v>
      </c>
      <c r="B172" s="44" t="s">
        <v>342</v>
      </c>
      <c r="C172" s="52" t="s">
        <v>369</v>
      </c>
      <c r="D172" s="45">
        <v>2024</v>
      </c>
      <c r="E172" s="45">
        <v>3</v>
      </c>
    </row>
    <row r="173" spans="1:5" ht="34" x14ac:dyDescent="0.2">
      <c r="A173" s="51" t="s">
        <v>378</v>
      </c>
      <c r="B173" s="51" t="s">
        <v>376</v>
      </c>
      <c r="C173" s="52" t="s">
        <v>377</v>
      </c>
      <c r="D173" s="45">
        <v>2023</v>
      </c>
      <c r="E173" s="45">
        <v>4</v>
      </c>
    </row>
    <row r="174" spans="1:5" ht="17" x14ac:dyDescent="0.2">
      <c r="A174" s="13"/>
      <c r="B174" s="13"/>
      <c r="C174" s="17" t="s">
        <v>8</v>
      </c>
      <c r="D174" s="59"/>
      <c r="E174" s="21">
        <f>COUNT(E171:E173)</f>
        <v>3</v>
      </c>
    </row>
    <row r="175" spans="1:5" ht="17" x14ac:dyDescent="0.2">
      <c r="A175" s="7"/>
      <c r="B175" s="7"/>
      <c r="C175" s="14" t="s">
        <v>9</v>
      </c>
      <c r="D175" s="59"/>
      <c r="E175" s="25">
        <f>SUM(E171:E173)</f>
        <v>10</v>
      </c>
    </row>
    <row r="176" spans="1:5" x14ac:dyDescent="0.2">
      <c r="A176" s="7"/>
      <c r="B176" s="7"/>
      <c r="C176" s="14"/>
      <c r="D176" s="59"/>
      <c r="E176" s="1"/>
    </row>
    <row r="177" spans="1:5" x14ac:dyDescent="0.2">
      <c r="A177" s="7"/>
      <c r="B177" s="7"/>
      <c r="C177" s="14"/>
      <c r="D177" s="59"/>
      <c r="E177" s="9"/>
    </row>
    <row r="178" spans="1:5" x14ac:dyDescent="0.2">
      <c r="A178" s="10" t="s">
        <v>150</v>
      </c>
      <c r="B178" s="10"/>
    </row>
    <row r="179" spans="1:5" x14ac:dyDescent="0.2">
      <c r="A179" s="104" t="s">
        <v>151</v>
      </c>
      <c r="B179" s="104"/>
      <c r="C179" s="104"/>
      <c r="D179" s="104"/>
      <c r="E179" s="104"/>
    </row>
    <row r="180" spans="1:5" ht="17" x14ac:dyDescent="0.2">
      <c r="A180" s="11" t="s">
        <v>5</v>
      </c>
      <c r="B180" s="11" t="s">
        <v>393</v>
      </c>
      <c r="C180" s="12" t="s">
        <v>6</v>
      </c>
      <c r="D180" s="12" t="s">
        <v>143</v>
      </c>
      <c r="E180" s="11" t="s">
        <v>7</v>
      </c>
    </row>
    <row r="181" spans="1:5" ht="17" x14ac:dyDescent="0.2">
      <c r="A181" s="26"/>
      <c r="B181" s="26"/>
      <c r="C181" s="27" t="s">
        <v>144</v>
      </c>
      <c r="D181" s="58"/>
      <c r="E181" s="29"/>
    </row>
    <row r="182" spans="1:5" x14ac:dyDescent="0.2">
      <c r="A182" s="31"/>
      <c r="B182" s="31"/>
      <c r="C182" s="31"/>
      <c r="D182" s="35"/>
      <c r="E182" s="35"/>
    </row>
    <row r="183" spans="1:5" x14ac:dyDescent="0.2">
      <c r="A183" s="31"/>
      <c r="B183" s="31"/>
      <c r="C183" s="31"/>
      <c r="D183" s="35"/>
      <c r="E183" s="35"/>
    </row>
    <row r="184" spans="1:5" x14ac:dyDescent="0.2">
      <c r="A184" s="31"/>
      <c r="B184" s="31"/>
      <c r="C184" s="31"/>
      <c r="D184" s="35"/>
      <c r="E184" s="35"/>
    </row>
    <row r="185" spans="1:5" x14ac:dyDescent="0.2">
      <c r="A185" s="31"/>
      <c r="B185" s="31"/>
      <c r="C185" s="31"/>
      <c r="D185" s="35"/>
      <c r="E185" s="35"/>
    </row>
    <row r="186" spans="1:5" x14ac:dyDescent="0.2">
      <c r="A186" s="31"/>
      <c r="B186" s="31"/>
      <c r="C186" s="31"/>
      <c r="D186" s="35"/>
      <c r="E186" s="35"/>
    </row>
    <row r="187" spans="1:5" x14ac:dyDescent="0.2">
      <c r="A187" s="31"/>
      <c r="B187" s="31"/>
      <c r="C187" s="31"/>
      <c r="D187" s="35"/>
      <c r="E187" s="35"/>
    </row>
    <row r="188" spans="1:5" ht="17" x14ac:dyDescent="0.2">
      <c r="A188" s="30"/>
      <c r="B188" s="30"/>
      <c r="C188" s="27" t="s">
        <v>2</v>
      </c>
      <c r="D188" s="35"/>
      <c r="E188" s="32"/>
    </row>
    <row r="189" spans="1:5" x14ac:dyDescent="0.2">
      <c r="A189" s="44"/>
      <c r="B189" s="44"/>
      <c r="C189" s="52"/>
      <c r="D189" s="45"/>
      <c r="E189" s="45"/>
    </row>
    <row r="190" spans="1:5" x14ac:dyDescent="0.2">
      <c r="A190" s="31"/>
      <c r="B190" s="31"/>
      <c r="C190" s="31"/>
      <c r="D190" s="35"/>
      <c r="E190" s="35"/>
    </row>
    <row r="191" spans="1:5" x14ac:dyDescent="0.2">
      <c r="A191" s="31"/>
      <c r="B191" s="31"/>
      <c r="C191" s="31"/>
      <c r="D191" s="35"/>
      <c r="E191" s="35"/>
    </row>
    <row r="192" spans="1:5" x14ac:dyDescent="0.2">
      <c r="A192" s="31"/>
      <c r="B192" s="31"/>
      <c r="C192" s="31"/>
      <c r="D192" s="35"/>
      <c r="E192" s="35"/>
    </row>
    <row r="193" spans="1:5" x14ac:dyDescent="0.2">
      <c r="A193" s="36"/>
      <c r="B193" s="36"/>
      <c r="C193" s="33"/>
      <c r="D193" s="37"/>
      <c r="E193" s="37"/>
    </row>
    <row r="194" spans="1:5" x14ac:dyDescent="0.2">
      <c r="A194" s="28"/>
      <c r="B194" s="28"/>
      <c r="C194" s="28"/>
      <c r="D194" s="58"/>
      <c r="E194" s="38"/>
    </row>
    <row r="195" spans="1:5" ht="17" x14ac:dyDescent="0.2">
      <c r="A195" s="13"/>
      <c r="B195" s="13"/>
      <c r="C195" s="17" t="s">
        <v>8</v>
      </c>
      <c r="D195" s="59"/>
      <c r="E195" s="21"/>
    </row>
    <row r="196" spans="1:5" ht="17" x14ac:dyDescent="0.2">
      <c r="A196" s="7"/>
      <c r="B196" s="7"/>
      <c r="C196" s="14" t="s">
        <v>9</v>
      </c>
      <c r="D196" s="59"/>
      <c r="E196" s="1"/>
    </row>
    <row r="197" spans="1:5" x14ac:dyDescent="0.2">
      <c r="A197" s="7"/>
      <c r="B197" s="7"/>
      <c r="C197" s="14"/>
      <c r="D197" s="59"/>
      <c r="E197" s="9"/>
    </row>
    <row r="198" spans="1:5" x14ac:dyDescent="0.2">
      <c r="A198" s="7"/>
      <c r="B198" s="7"/>
      <c r="C198" s="14"/>
      <c r="D198" s="59"/>
      <c r="E198" s="9"/>
    </row>
    <row r="199" spans="1:5" x14ac:dyDescent="0.2">
      <c r="A199" s="7"/>
      <c r="B199" s="7"/>
      <c r="C199" s="14"/>
      <c r="D199" s="59"/>
      <c r="E199" s="9"/>
    </row>
    <row r="200" spans="1:5" x14ac:dyDescent="0.2">
      <c r="A200" s="7"/>
      <c r="B200" s="7"/>
      <c r="C200" s="14"/>
      <c r="D200" s="59"/>
      <c r="E200" s="9"/>
    </row>
    <row r="201" spans="1:5" x14ac:dyDescent="0.2">
      <c r="A201" s="10" t="s">
        <v>32</v>
      </c>
      <c r="B201" s="10" t="s">
        <v>33</v>
      </c>
      <c r="D201" s="5"/>
      <c r="E201" s="10"/>
    </row>
    <row r="202" spans="1:5" x14ac:dyDescent="0.2">
      <c r="A202" s="104" t="s">
        <v>152</v>
      </c>
      <c r="B202" s="104"/>
      <c r="C202" s="104"/>
      <c r="D202" s="104"/>
      <c r="E202" s="104"/>
    </row>
    <row r="203" spans="1:5" ht="17" x14ac:dyDescent="0.2">
      <c r="A203" s="11" t="s">
        <v>5</v>
      </c>
      <c r="B203" s="11" t="s">
        <v>393</v>
      </c>
      <c r="C203" s="12" t="s">
        <v>6</v>
      </c>
      <c r="D203" s="12" t="s">
        <v>143</v>
      </c>
      <c r="E203" s="11" t="s">
        <v>7</v>
      </c>
    </row>
    <row r="204" spans="1:5" ht="17" x14ac:dyDescent="0.2">
      <c r="A204" s="26"/>
      <c r="B204" s="26"/>
      <c r="C204" s="27" t="s">
        <v>144</v>
      </c>
      <c r="D204" s="58"/>
      <c r="E204" s="29"/>
    </row>
    <row r="205" spans="1:5" ht="34" x14ac:dyDescent="0.2">
      <c r="A205" s="31" t="s">
        <v>253</v>
      </c>
      <c r="B205" s="31"/>
      <c r="C205" s="31" t="s">
        <v>249</v>
      </c>
      <c r="D205" s="35">
        <v>2020</v>
      </c>
      <c r="E205" s="35">
        <v>1</v>
      </c>
    </row>
    <row r="206" spans="1:5" ht="34" x14ac:dyDescent="0.2">
      <c r="A206" s="31" t="s">
        <v>254</v>
      </c>
      <c r="B206" s="31"/>
      <c r="C206" s="31" t="s">
        <v>250</v>
      </c>
      <c r="D206" s="35">
        <v>2019</v>
      </c>
      <c r="E206" s="35">
        <v>1</v>
      </c>
    </row>
    <row r="207" spans="1:5" ht="17" x14ac:dyDescent="0.2">
      <c r="A207" s="30" t="s">
        <v>255</v>
      </c>
      <c r="B207" s="30"/>
      <c r="C207" s="31" t="s">
        <v>247</v>
      </c>
      <c r="D207" s="35">
        <v>2018</v>
      </c>
      <c r="E207" s="35">
        <v>1</v>
      </c>
    </row>
    <row r="208" spans="1:5" ht="17" x14ac:dyDescent="0.2">
      <c r="A208" s="31" t="s">
        <v>256</v>
      </c>
      <c r="B208" s="31"/>
      <c r="C208" s="31" t="s">
        <v>251</v>
      </c>
      <c r="D208" s="35">
        <v>2018</v>
      </c>
      <c r="E208" s="35">
        <v>1</v>
      </c>
    </row>
    <row r="209" spans="1:5" ht="17" x14ac:dyDescent="0.2">
      <c r="A209" s="30" t="s">
        <v>252</v>
      </c>
      <c r="B209" s="30"/>
      <c r="C209" s="31" t="s">
        <v>248</v>
      </c>
      <c r="D209" s="35">
        <v>2017</v>
      </c>
      <c r="E209" s="35">
        <v>1</v>
      </c>
    </row>
    <row r="210" spans="1:5" ht="17" x14ac:dyDescent="0.2">
      <c r="A210" s="30"/>
      <c r="B210" s="30"/>
      <c r="C210" s="27" t="s">
        <v>2</v>
      </c>
      <c r="D210" s="35"/>
      <c r="E210" s="32"/>
    </row>
    <row r="211" spans="1:5" ht="34" x14ac:dyDescent="0.2">
      <c r="A211" s="44" t="s">
        <v>318</v>
      </c>
      <c r="B211" s="44" t="s">
        <v>319</v>
      </c>
      <c r="C211" s="52" t="s">
        <v>320</v>
      </c>
      <c r="D211" s="45">
        <v>2023</v>
      </c>
      <c r="E211" s="45">
        <v>1</v>
      </c>
    </row>
    <row r="212" spans="1:5" ht="17" x14ac:dyDescent="0.2">
      <c r="A212" s="44" t="s">
        <v>312</v>
      </c>
      <c r="B212" s="44" t="s">
        <v>313</v>
      </c>
      <c r="C212" s="52" t="s">
        <v>314</v>
      </c>
      <c r="D212" s="45">
        <v>2018</v>
      </c>
      <c r="E212" s="45">
        <v>1</v>
      </c>
    </row>
    <row r="213" spans="1:5" ht="17" x14ac:dyDescent="0.2">
      <c r="A213" s="44" t="s">
        <v>321</v>
      </c>
      <c r="B213" s="44" t="s">
        <v>322</v>
      </c>
      <c r="C213" s="52" t="s">
        <v>323</v>
      </c>
      <c r="D213" s="45">
        <v>2018</v>
      </c>
      <c r="E213" s="45">
        <v>1</v>
      </c>
    </row>
    <row r="214" spans="1:5" ht="34" x14ac:dyDescent="0.2">
      <c r="A214" s="44" t="s">
        <v>324</v>
      </c>
      <c r="B214" s="44" t="s">
        <v>325</v>
      </c>
      <c r="C214" s="52" t="s">
        <v>326</v>
      </c>
      <c r="D214" s="45">
        <v>2018</v>
      </c>
      <c r="E214" s="45">
        <v>1</v>
      </c>
    </row>
    <row r="215" spans="1:5" ht="17" x14ac:dyDescent="0.2">
      <c r="A215" s="44" t="s">
        <v>315</v>
      </c>
      <c r="B215" s="44" t="s">
        <v>316</v>
      </c>
      <c r="C215" s="52" t="s">
        <v>317</v>
      </c>
      <c r="D215" s="45">
        <v>2017</v>
      </c>
      <c r="E215" s="45">
        <v>1</v>
      </c>
    </row>
    <row r="216" spans="1:5" ht="34" x14ac:dyDescent="0.2">
      <c r="A216" s="44" t="s">
        <v>327</v>
      </c>
      <c r="B216" s="44" t="s">
        <v>328</v>
      </c>
      <c r="C216" s="52" t="s">
        <v>329</v>
      </c>
      <c r="D216" s="45">
        <v>2017</v>
      </c>
      <c r="E216" s="45">
        <v>1</v>
      </c>
    </row>
    <row r="217" spans="1:5" ht="17" x14ac:dyDescent="0.2">
      <c r="A217" s="44" t="s">
        <v>330</v>
      </c>
      <c r="B217" s="44" t="s">
        <v>331</v>
      </c>
      <c r="C217" s="52" t="s">
        <v>332</v>
      </c>
      <c r="D217" s="45">
        <v>2016</v>
      </c>
      <c r="E217" s="45">
        <v>1</v>
      </c>
    </row>
    <row r="218" spans="1:5" ht="17" x14ac:dyDescent="0.2">
      <c r="A218" s="13"/>
      <c r="B218" s="13"/>
      <c r="C218" s="14" t="s">
        <v>8</v>
      </c>
      <c r="D218" s="59"/>
      <c r="E218" s="21">
        <v>13</v>
      </c>
    </row>
    <row r="219" spans="1:5" ht="17" x14ac:dyDescent="0.2">
      <c r="A219" s="7"/>
      <c r="B219" s="7"/>
      <c r="C219" s="14" t="s">
        <v>9</v>
      </c>
      <c r="D219" s="59"/>
      <c r="E219" s="1">
        <v>20</v>
      </c>
    </row>
    <row r="220" spans="1:5" x14ac:dyDescent="0.2">
      <c r="A220" s="7"/>
      <c r="B220" s="7"/>
      <c r="C220" s="14"/>
      <c r="D220" s="59"/>
      <c r="E220" s="1"/>
    </row>
    <row r="221" spans="1:5" x14ac:dyDescent="0.2">
      <c r="A221" s="7"/>
      <c r="B221" s="7"/>
      <c r="C221" s="14"/>
      <c r="D221" s="59"/>
      <c r="E221" s="1"/>
    </row>
    <row r="222" spans="1:5" x14ac:dyDescent="0.2">
      <c r="A222" s="10" t="s">
        <v>34</v>
      </c>
      <c r="B222" s="10" t="s">
        <v>35</v>
      </c>
      <c r="D222" s="5"/>
      <c r="E222" s="5"/>
    </row>
    <row r="223" spans="1:5" x14ac:dyDescent="0.2">
      <c r="A223" s="104" t="s">
        <v>158</v>
      </c>
      <c r="B223" s="104"/>
      <c r="C223" s="104"/>
      <c r="D223" s="104"/>
      <c r="E223" s="104"/>
    </row>
    <row r="224" spans="1:5" ht="17" x14ac:dyDescent="0.2">
      <c r="A224" s="11" t="s">
        <v>5</v>
      </c>
      <c r="B224" s="11" t="s">
        <v>393</v>
      </c>
      <c r="C224" s="12" t="s">
        <v>6</v>
      </c>
      <c r="D224" s="12" t="s">
        <v>143</v>
      </c>
      <c r="E224" s="11" t="s">
        <v>7</v>
      </c>
    </row>
    <row r="225" spans="1:5" ht="17" x14ac:dyDescent="0.2">
      <c r="A225" s="26"/>
      <c r="B225" s="26"/>
      <c r="C225" s="27" t="s">
        <v>144</v>
      </c>
      <c r="D225" s="58"/>
      <c r="E225" s="29"/>
    </row>
    <row r="226" spans="1:5" x14ac:dyDescent="0.2">
      <c r="A226" s="39"/>
      <c r="B226" s="39"/>
      <c r="C226" s="41" t="s">
        <v>178</v>
      </c>
      <c r="D226" s="34">
        <v>2024</v>
      </c>
      <c r="E226" s="34">
        <v>1</v>
      </c>
    </row>
    <row r="227" spans="1:5" ht="34" x14ac:dyDescent="0.2">
      <c r="A227" s="41"/>
      <c r="B227" s="41"/>
      <c r="C227" s="33" t="s">
        <v>182</v>
      </c>
      <c r="D227" s="34">
        <v>2024</v>
      </c>
      <c r="E227" s="34">
        <v>1</v>
      </c>
    </row>
    <row r="228" spans="1:5" ht="17" x14ac:dyDescent="0.2">
      <c r="A228" s="39"/>
      <c r="B228" s="39"/>
      <c r="C228" s="33" t="s">
        <v>173</v>
      </c>
      <c r="D228" s="34">
        <v>2024</v>
      </c>
      <c r="E228" s="34">
        <v>1</v>
      </c>
    </row>
    <row r="229" spans="1:5" ht="17" x14ac:dyDescent="0.2">
      <c r="A229" s="22"/>
      <c r="B229" s="22"/>
      <c r="C229" s="17" t="s">
        <v>8</v>
      </c>
      <c r="D229" s="60"/>
      <c r="E229" s="23">
        <f>COUNT(E226:E228)</f>
        <v>3</v>
      </c>
    </row>
    <row r="230" spans="1:5" ht="17" x14ac:dyDescent="0.2">
      <c r="A230" s="7"/>
      <c r="B230" s="7"/>
      <c r="C230" s="14" t="s">
        <v>9</v>
      </c>
      <c r="D230" s="59"/>
      <c r="E230" s="6">
        <f>SUM(E226:E228)</f>
        <v>3</v>
      </c>
    </row>
    <row r="231" spans="1:5" x14ac:dyDescent="0.2">
      <c r="A231" s="7"/>
      <c r="B231" s="7"/>
      <c r="C231" s="14"/>
      <c r="D231" s="59"/>
      <c r="E231" s="6"/>
    </row>
    <row r="232" spans="1:5" x14ac:dyDescent="0.2">
      <c r="A232" s="7"/>
      <c r="B232" s="7"/>
      <c r="C232" s="14"/>
      <c r="D232" s="59"/>
      <c r="E232" s="9"/>
    </row>
    <row r="233" spans="1:5" x14ac:dyDescent="0.2">
      <c r="A233" s="10" t="s">
        <v>36</v>
      </c>
      <c r="B233" s="10" t="s">
        <v>37</v>
      </c>
      <c r="D233" s="5"/>
      <c r="E233" s="10"/>
    </row>
    <row r="234" spans="1:5" x14ac:dyDescent="0.2">
      <c r="A234" s="104" t="s">
        <v>159</v>
      </c>
      <c r="B234" s="104"/>
      <c r="C234" s="104"/>
      <c r="D234" s="104"/>
      <c r="E234" s="104"/>
    </row>
    <row r="235" spans="1:5" ht="17" x14ac:dyDescent="0.2">
      <c r="A235" s="11" t="s">
        <v>5</v>
      </c>
      <c r="B235" s="11" t="s">
        <v>393</v>
      </c>
      <c r="C235" s="12" t="s">
        <v>6</v>
      </c>
      <c r="D235" s="12" t="s">
        <v>143</v>
      </c>
      <c r="E235" s="11" t="s">
        <v>7</v>
      </c>
    </row>
    <row r="236" spans="1:5" ht="17" x14ac:dyDescent="0.2">
      <c r="A236" s="30"/>
      <c r="B236" s="30"/>
      <c r="C236" s="27" t="s">
        <v>407</v>
      </c>
      <c r="D236" s="35"/>
      <c r="E236" s="32"/>
    </row>
    <row r="237" spans="1:5" ht="34" x14ac:dyDescent="0.2">
      <c r="A237" s="44" t="s">
        <v>383</v>
      </c>
      <c r="B237" s="51" t="s">
        <v>384</v>
      </c>
      <c r="C237" s="52" t="s">
        <v>385</v>
      </c>
      <c r="D237" s="45">
        <v>2016</v>
      </c>
      <c r="E237" s="45">
        <v>1</v>
      </c>
    </row>
    <row r="238" spans="1:5" ht="51" x14ac:dyDescent="0.2">
      <c r="A238" s="41"/>
      <c r="B238" s="74" t="s">
        <v>420</v>
      </c>
      <c r="C238" s="54" t="s">
        <v>406</v>
      </c>
      <c r="D238" s="34">
        <v>2020</v>
      </c>
      <c r="E238" s="34">
        <v>1</v>
      </c>
    </row>
    <row r="239" spans="1:5" ht="51" x14ac:dyDescent="0.2">
      <c r="A239" s="65"/>
      <c r="B239" s="74" t="s">
        <v>420</v>
      </c>
      <c r="C239" s="67" t="s">
        <v>424</v>
      </c>
      <c r="D239" s="37">
        <v>2019</v>
      </c>
      <c r="E239" s="34">
        <v>1</v>
      </c>
    </row>
    <row r="240" spans="1:5" ht="51" x14ac:dyDescent="0.2">
      <c r="A240" s="63"/>
      <c r="B240" s="74" t="s">
        <v>420</v>
      </c>
      <c r="C240" s="68" t="s">
        <v>423</v>
      </c>
      <c r="D240" s="69">
        <v>2018</v>
      </c>
      <c r="E240" s="70">
        <v>1</v>
      </c>
    </row>
    <row r="241" spans="1:5" ht="51" x14ac:dyDescent="0.2">
      <c r="A241" s="31"/>
      <c r="B241" s="74" t="s">
        <v>420</v>
      </c>
      <c r="C241" s="54" t="s">
        <v>409</v>
      </c>
      <c r="D241" s="66">
        <v>2017</v>
      </c>
      <c r="E241" s="66">
        <v>1</v>
      </c>
    </row>
    <row r="242" spans="1:5" ht="51" x14ac:dyDescent="0.2">
      <c r="A242" s="65"/>
      <c r="B242" s="74" t="s">
        <v>420</v>
      </c>
      <c r="C242" s="67" t="s">
        <v>422</v>
      </c>
      <c r="D242" s="71">
        <v>2017</v>
      </c>
      <c r="E242" s="72">
        <v>1</v>
      </c>
    </row>
    <row r="243" spans="1:5" ht="51" x14ac:dyDescent="0.2">
      <c r="A243" s="31"/>
      <c r="B243" s="74" t="s">
        <v>420</v>
      </c>
      <c r="C243" s="54" t="s">
        <v>408</v>
      </c>
      <c r="D243" s="66">
        <v>2016</v>
      </c>
      <c r="E243" s="66">
        <v>1</v>
      </c>
    </row>
    <row r="244" spans="1:5" ht="51" x14ac:dyDescent="0.2">
      <c r="A244" s="65"/>
      <c r="B244" s="74" t="s">
        <v>420</v>
      </c>
      <c r="C244" s="67" t="s">
        <v>421</v>
      </c>
      <c r="D244" s="71">
        <v>2016</v>
      </c>
      <c r="E244" s="72">
        <v>1</v>
      </c>
    </row>
    <row r="245" spans="1:5" ht="51" x14ac:dyDescent="0.2">
      <c r="A245" s="36"/>
      <c r="B245" s="74" t="s">
        <v>420</v>
      </c>
      <c r="C245" s="54" t="s">
        <v>410</v>
      </c>
      <c r="D245" s="72">
        <v>2010</v>
      </c>
      <c r="E245" s="72">
        <v>1</v>
      </c>
    </row>
    <row r="246" spans="1:5" ht="51" x14ac:dyDescent="0.2">
      <c r="A246" s="36"/>
      <c r="B246" s="74" t="s">
        <v>420</v>
      </c>
      <c r="C246" s="54" t="s">
        <v>419</v>
      </c>
      <c r="D246" s="72">
        <v>2009</v>
      </c>
      <c r="E246" s="72">
        <v>1</v>
      </c>
    </row>
    <row r="247" spans="1:5" ht="51" x14ac:dyDescent="0.2">
      <c r="A247" s="36"/>
      <c r="B247" s="74" t="s">
        <v>420</v>
      </c>
      <c r="C247" s="54" t="s">
        <v>418</v>
      </c>
      <c r="D247" s="72">
        <v>2008</v>
      </c>
      <c r="E247" s="72">
        <v>1</v>
      </c>
    </row>
    <row r="248" spans="1:5" ht="51" x14ac:dyDescent="0.2">
      <c r="A248" s="55"/>
      <c r="B248" s="74" t="s">
        <v>420</v>
      </c>
      <c r="C248" s="56" t="s">
        <v>417</v>
      </c>
      <c r="D248" s="75">
        <v>2007</v>
      </c>
      <c r="E248" s="75">
        <v>1</v>
      </c>
    </row>
    <row r="249" spans="1:5" ht="51" x14ac:dyDescent="0.2">
      <c r="A249" s="36"/>
      <c r="B249" s="74" t="s">
        <v>420</v>
      </c>
      <c r="C249" s="57" t="s">
        <v>416</v>
      </c>
      <c r="D249" s="34">
        <v>2006</v>
      </c>
      <c r="E249" s="34">
        <v>1</v>
      </c>
    </row>
    <row r="250" spans="1:5" ht="51" x14ac:dyDescent="0.2">
      <c r="A250" s="36"/>
      <c r="B250" s="74" t="s">
        <v>420</v>
      </c>
      <c r="C250" s="57" t="s">
        <v>415</v>
      </c>
      <c r="D250" s="34">
        <v>2005</v>
      </c>
      <c r="E250" s="34">
        <v>1</v>
      </c>
    </row>
    <row r="251" spans="1:5" ht="51" x14ac:dyDescent="0.2">
      <c r="A251" s="64"/>
      <c r="B251" s="74" t="s">
        <v>420</v>
      </c>
      <c r="C251" s="54" t="s">
        <v>414</v>
      </c>
      <c r="D251" s="72">
        <v>2004</v>
      </c>
      <c r="E251" s="72">
        <v>1</v>
      </c>
    </row>
    <row r="252" spans="1:5" ht="51" x14ac:dyDescent="0.2">
      <c r="A252" s="64"/>
      <c r="B252" s="74" t="s">
        <v>420</v>
      </c>
      <c r="C252" s="54" t="s">
        <v>413</v>
      </c>
      <c r="D252" s="72">
        <v>2003</v>
      </c>
      <c r="E252" s="72">
        <v>1</v>
      </c>
    </row>
    <row r="253" spans="1:5" ht="51" x14ac:dyDescent="0.2">
      <c r="A253" s="64"/>
      <c r="B253" s="74" t="s">
        <v>420</v>
      </c>
      <c r="C253" s="54" t="s">
        <v>412</v>
      </c>
      <c r="D253" s="72">
        <v>2002</v>
      </c>
      <c r="E253" s="72">
        <v>1</v>
      </c>
    </row>
    <row r="254" spans="1:5" ht="51" x14ac:dyDescent="0.2">
      <c r="A254" s="64"/>
      <c r="B254" s="74" t="s">
        <v>420</v>
      </c>
      <c r="C254" s="54" t="s">
        <v>411</v>
      </c>
      <c r="D254" s="72">
        <v>2001</v>
      </c>
      <c r="E254" s="72">
        <v>1</v>
      </c>
    </row>
    <row r="255" spans="1:5" ht="17" x14ac:dyDescent="0.2">
      <c r="A255" s="7"/>
      <c r="B255" s="7"/>
      <c r="C255" s="14" t="s">
        <v>8</v>
      </c>
      <c r="D255" s="59"/>
      <c r="E255" s="1">
        <f>COUNT(E237:E254)</f>
        <v>18</v>
      </c>
    </row>
    <row r="256" spans="1:5" ht="17" x14ac:dyDescent="0.2">
      <c r="A256" s="7"/>
      <c r="B256" s="7"/>
      <c r="C256" s="14" t="s">
        <v>9</v>
      </c>
      <c r="D256" s="59"/>
      <c r="E256" s="25">
        <f>SUM(E237:E254)</f>
        <v>18</v>
      </c>
    </row>
    <row r="257" spans="1:5" x14ac:dyDescent="0.2">
      <c r="A257" s="7"/>
      <c r="B257" s="7"/>
      <c r="C257" s="14"/>
      <c r="D257" s="59"/>
      <c r="E257" s="25"/>
    </row>
    <row r="258" spans="1:5" x14ac:dyDescent="0.2">
      <c r="A258" s="10" t="s">
        <v>38</v>
      </c>
      <c r="B258" s="10" t="s">
        <v>39</v>
      </c>
      <c r="D258" s="5"/>
      <c r="E258" s="10"/>
    </row>
    <row r="259" spans="1:5" x14ac:dyDescent="0.2">
      <c r="A259" s="104" t="s">
        <v>160</v>
      </c>
      <c r="B259" s="104"/>
      <c r="C259" s="104"/>
      <c r="D259" s="104"/>
      <c r="E259" s="104"/>
    </row>
    <row r="260" spans="1:5" ht="17" x14ac:dyDescent="0.2">
      <c r="A260" s="11" t="s">
        <v>5</v>
      </c>
      <c r="B260" s="11" t="s">
        <v>393</v>
      </c>
      <c r="C260" s="12" t="s">
        <v>6</v>
      </c>
      <c r="D260" s="12" t="s">
        <v>143</v>
      </c>
      <c r="E260" s="11" t="s">
        <v>7</v>
      </c>
    </row>
    <row r="261" spans="1:5" ht="17" x14ac:dyDescent="0.2">
      <c r="A261" s="26"/>
      <c r="B261" s="26"/>
      <c r="C261" s="27" t="s">
        <v>144</v>
      </c>
      <c r="D261" s="58"/>
      <c r="E261" s="29"/>
    </row>
    <row r="262" spans="1:5" ht="34" x14ac:dyDescent="0.2">
      <c r="A262" s="39"/>
      <c r="B262" s="39"/>
      <c r="C262" s="40" t="s">
        <v>197</v>
      </c>
      <c r="D262" s="34">
        <v>2024</v>
      </c>
      <c r="E262" s="34">
        <v>1</v>
      </c>
    </row>
    <row r="263" spans="1:5" ht="17" x14ac:dyDescent="0.2">
      <c r="A263" s="30"/>
      <c r="B263" s="30"/>
      <c r="C263" s="27" t="s">
        <v>2</v>
      </c>
      <c r="D263" s="35"/>
      <c r="E263" s="32"/>
    </row>
    <row r="264" spans="1:5" ht="34" x14ac:dyDescent="0.2">
      <c r="A264" s="44" t="s">
        <v>293</v>
      </c>
      <c r="B264" s="51" t="s">
        <v>294</v>
      </c>
      <c r="C264" s="52" t="s">
        <v>295</v>
      </c>
      <c r="D264" s="45">
        <v>2022</v>
      </c>
      <c r="E264" s="45">
        <v>1</v>
      </c>
    </row>
    <row r="265" spans="1:5" ht="17" x14ac:dyDescent="0.2">
      <c r="A265" s="24"/>
      <c r="B265" s="24"/>
      <c r="C265" s="17" t="s">
        <v>8</v>
      </c>
      <c r="D265" s="59"/>
      <c r="E265" s="1">
        <f>COUNT(E262:E264)</f>
        <v>2</v>
      </c>
    </row>
    <row r="266" spans="1:5" ht="17" x14ac:dyDescent="0.2">
      <c r="A266" s="24"/>
      <c r="B266" s="24"/>
      <c r="C266" s="14" t="s">
        <v>9</v>
      </c>
      <c r="D266" s="59"/>
      <c r="E266" s="1">
        <f>SUM(E262:E264)</f>
        <v>2</v>
      </c>
    </row>
    <row r="267" spans="1:5" x14ac:dyDescent="0.2">
      <c r="A267" s="7"/>
      <c r="B267" s="7"/>
      <c r="C267" s="14"/>
      <c r="D267" s="59"/>
      <c r="E267" s="9"/>
    </row>
    <row r="268" spans="1:5" x14ac:dyDescent="0.2">
      <c r="A268" s="7"/>
      <c r="B268" s="7"/>
      <c r="C268" s="14"/>
      <c r="D268" s="59"/>
      <c r="E268" s="9"/>
    </row>
    <row r="269" spans="1:5" x14ac:dyDescent="0.2">
      <c r="A269" s="10" t="s">
        <v>169</v>
      </c>
      <c r="B269" s="10" t="s">
        <v>257</v>
      </c>
      <c r="D269" s="5"/>
      <c r="E269" s="10"/>
    </row>
    <row r="270" spans="1:5" x14ac:dyDescent="0.2">
      <c r="A270" s="104" t="s">
        <v>153</v>
      </c>
      <c r="B270" s="104"/>
      <c r="C270" s="104"/>
      <c r="D270" s="104"/>
      <c r="E270" s="104"/>
    </row>
    <row r="271" spans="1:5" ht="17" x14ac:dyDescent="0.2">
      <c r="A271" s="11" t="s">
        <v>5</v>
      </c>
      <c r="B271" s="11" t="s">
        <v>393</v>
      </c>
      <c r="C271" s="12" t="s">
        <v>6</v>
      </c>
      <c r="D271" s="12" t="s">
        <v>143</v>
      </c>
      <c r="E271" s="11" t="s">
        <v>7</v>
      </c>
    </row>
    <row r="272" spans="1:5" ht="17" x14ac:dyDescent="0.2">
      <c r="A272" s="26"/>
      <c r="B272" s="26"/>
      <c r="C272" s="27" t="s">
        <v>144</v>
      </c>
      <c r="D272" s="58"/>
      <c r="E272" s="29"/>
    </row>
    <row r="273" spans="1:5" ht="51" x14ac:dyDescent="0.2">
      <c r="A273" s="33"/>
      <c r="B273" s="33" t="s">
        <v>394</v>
      </c>
      <c r="C273" s="33" t="s">
        <v>395</v>
      </c>
      <c r="D273" s="38">
        <v>2024</v>
      </c>
      <c r="E273" s="37">
        <v>1</v>
      </c>
    </row>
    <row r="274" spans="1:5" ht="34" x14ac:dyDescent="0.2">
      <c r="A274" s="33"/>
      <c r="B274" s="33" t="s">
        <v>396</v>
      </c>
      <c r="C274" s="33" t="s">
        <v>397</v>
      </c>
      <c r="D274" s="38">
        <v>2023</v>
      </c>
      <c r="E274" s="37">
        <v>1</v>
      </c>
    </row>
    <row r="275" spans="1:5" ht="17" x14ac:dyDescent="0.2">
      <c r="A275" s="33"/>
      <c r="B275" s="33" t="s">
        <v>398</v>
      </c>
      <c r="C275" s="33" t="s">
        <v>399</v>
      </c>
      <c r="D275" s="38">
        <v>2023</v>
      </c>
      <c r="E275" s="37">
        <v>1</v>
      </c>
    </row>
    <row r="276" spans="1:5" ht="34" x14ac:dyDescent="0.2">
      <c r="A276" s="33"/>
      <c r="B276" s="33" t="s">
        <v>400</v>
      </c>
      <c r="C276" s="33" t="s">
        <v>401</v>
      </c>
      <c r="D276" s="38">
        <v>2023</v>
      </c>
      <c r="E276" s="37">
        <v>1</v>
      </c>
    </row>
    <row r="277" spans="1:5" ht="34" x14ac:dyDescent="0.2">
      <c r="A277" s="33"/>
      <c r="B277" s="33" t="s">
        <v>402</v>
      </c>
      <c r="C277" s="33" t="s">
        <v>403</v>
      </c>
      <c r="D277" s="38">
        <v>2023</v>
      </c>
      <c r="E277" s="37">
        <v>1</v>
      </c>
    </row>
    <row r="278" spans="1:5" ht="34" x14ac:dyDescent="0.2">
      <c r="A278" s="33"/>
      <c r="B278" s="33" t="s">
        <v>404</v>
      </c>
      <c r="C278" s="33" t="s">
        <v>405</v>
      </c>
      <c r="D278" s="38">
        <v>2020</v>
      </c>
      <c r="E278" s="37">
        <v>1</v>
      </c>
    </row>
    <row r="279" spans="1:5" ht="17" x14ac:dyDescent="0.2">
      <c r="A279" s="31"/>
      <c r="B279" s="31"/>
      <c r="C279" s="27" t="s">
        <v>2</v>
      </c>
      <c r="D279" s="35"/>
      <c r="E279" s="32"/>
    </row>
    <row r="280" spans="1:5" ht="34" x14ac:dyDescent="0.2">
      <c r="A280" s="46" t="s">
        <v>390</v>
      </c>
      <c r="B280" s="42" t="s">
        <v>389</v>
      </c>
      <c r="C280" s="42" t="s">
        <v>391</v>
      </c>
      <c r="D280" s="48">
        <v>2024</v>
      </c>
      <c r="E280" s="47">
        <v>2</v>
      </c>
    </row>
    <row r="281" spans="1:5" ht="34" x14ac:dyDescent="0.2">
      <c r="A281" s="44" t="s">
        <v>262</v>
      </c>
      <c r="B281" s="44" t="s">
        <v>263</v>
      </c>
      <c r="C281" s="52" t="s">
        <v>264</v>
      </c>
      <c r="D281" s="45">
        <v>2022</v>
      </c>
      <c r="E281" s="45">
        <v>3</v>
      </c>
    </row>
    <row r="282" spans="1:5" ht="34" x14ac:dyDescent="0.2">
      <c r="A282" s="44" t="s">
        <v>265</v>
      </c>
      <c r="B282" s="44" t="s">
        <v>266</v>
      </c>
      <c r="C282" s="52" t="s">
        <v>267</v>
      </c>
      <c r="D282" s="45">
        <v>2019</v>
      </c>
      <c r="E282" s="45">
        <v>6</v>
      </c>
    </row>
    <row r="283" spans="1:5" ht="34" x14ac:dyDescent="0.2">
      <c r="A283" s="44" t="s">
        <v>268</v>
      </c>
      <c r="B283" s="44" t="s">
        <v>269</v>
      </c>
      <c r="C283" s="52" t="s">
        <v>270</v>
      </c>
      <c r="D283" s="45">
        <v>2024</v>
      </c>
      <c r="E283" s="45">
        <v>3</v>
      </c>
    </row>
    <row r="284" spans="1:5" ht="17" x14ac:dyDescent="0.2">
      <c r="A284" s="44" t="s">
        <v>271</v>
      </c>
      <c r="B284" s="44" t="s">
        <v>272</v>
      </c>
      <c r="C284" s="52" t="s">
        <v>273</v>
      </c>
      <c r="D284" s="45">
        <v>2019</v>
      </c>
      <c r="E284" s="45">
        <v>6</v>
      </c>
    </row>
    <row r="285" spans="1:5" ht="34" x14ac:dyDescent="0.2">
      <c r="A285" s="44" t="s">
        <v>281</v>
      </c>
      <c r="B285" s="44" t="s">
        <v>282</v>
      </c>
      <c r="C285" s="52" t="s">
        <v>283</v>
      </c>
      <c r="D285" s="45">
        <v>2017</v>
      </c>
      <c r="E285" s="45">
        <v>1</v>
      </c>
    </row>
    <row r="286" spans="1:5" ht="17" x14ac:dyDescent="0.2">
      <c r="A286" s="7"/>
      <c r="B286" s="7"/>
      <c r="C286" s="14" t="s">
        <v>8</v>
      </c>
      <c r="D286" s="59"/>
      <c r="E286" s="1">
        <f>COUNT(E273:E285)</f>
        <v>12</v>
      </c>
    </row>
    <row r="287" spans="1:5" ht="17" x14ac:dyDescent="0.2">
      <c r="A287" s="7"/>
      <c r="B287" s="7"/>
      <c r="C287" s="14" t="s">
        <v>9</v>
      </c>
      <c r="D287" s="59"/>
      <c r="E287" s="1">
        <f>SUM(E273:E285)</f>
        <v>27</v>
      </c>
    </row>
    <row r="288" spans="1:5" x14ac:dyDescent="0.2">
      <c r="A288" s="7"/>
      <c r="B288" s="7"/>
      <c r="C288" s="14"/>
      <c r="D288" s="59"/>
      <c r="E288" s="9"/>
    </row>
    <row r="289" spans="1:5" x14ac:dyDescent="0.2">
      <c r="A289" s="10" t="s">
        <v>170</v>
      </c>
      <c r="B289" s="10" t="s">
        <v>40</v>
      </c>
      <c r="D289" s="5"/>
      <c r="E289" s="10"/>
    </row>
    <row r="290" spans="1:5" x14ac:dyDescent="0.2">
      <c r="A290" s="9" t="s">
        <v>154</v>
      </c>
      <c r="B290" s="9"/>
    </row>
    <row r="291" spans="1:5" ht="17" x14ac:dyDescent="0.2">
      <c r="A291" s="11" t="s">
        <v>5</v>
      </c>
      <c r="B291" s="11" t="s">
        <v>393</v>
      </c>
      <c r="C291" s="12" t="s">
        <v>6</v>
      </c>
      <c r="D291" s="12" t="s">
        <v>143</v>
      </c>
      <c r="E291" s="11" t="s">
        <v>7</v>
      </c>
    </row>
    <row r="292" spans="1:5" ht="17" x14ac:dyDescent="0.2">
      <c r="A292" s="30"/>
      <c r="B292" s="30"/>
      <c r="C292" s="27" t="s">
        <v>2</v>
      </c>
      <c r="D292" s="35"/>
      <c r="E292" s="32"/>
    </row>
    <row r="293" spans="1:5" ht="34" x14ac:dyDescent="0.2">
      <c r="A293" s="44" t="s">
        <v>370</v>
      </c>
      <c r="B293" s="44" t="s">
        <v>371</v>
      </c>
      <c r="C293" s="52" t="s">
        <v>372</v>
      </c>
      <c r="D293" s="45">
        <v>2018</v>
      </c>
      <c r="E293" s="45">
        <v>1</v>
      </c>
    </row>
    <row r="294" spans="1:5" ht="17" x14ac:dyDescent="0.2">
      <c r="A294" s="44" t="s">
        <v>373</v>
      </c>
      <c r="B294" s="44" t="s">
        <v>374</v>
      </c>
      <c r="C294" s="52" t="s">
        <v>375</v>
      </c>
      <c r="D294" s="45">
        <v>2018</v>
      </c>
      <c r="E294" s="45">
        <v>1</v>
      </c>
    </row>
    <row r="295" spans="1:5" ht="34" x14ac:dyDescent="0.2">
      <c r="A295" s="44" t="s">
        <v>275</v>
      </c>
      <c r="B295" s="44" t="s">
        <v>276</v>
      </c>
      <c r="C295" s="52" t="s">
        <v>277</v>
      </c>
      <c r="D295" s="45">
        <v>2016</v>
      </c>
      <c r="E295" s="45">
        <v>1</v>
      </c>
    </row>
    <row r="296" spans="1:5" ht="17" x14ac:dyDescent="0.2">
      <c r="A296" s="7"/>
      <c r="B296" s="7"/>
      <c r="C296" s="14" t="s">
        <v>8</v>
      </c>
      <c r="D296" s="59"/>
      <c r="E296" s="1">
        <f>COUNT(E293:E295)</f>
        <v>3</v>
      </c>
    </row>
    <row r="297" spans="1:5" ht="17" x14ac:dyDescent="0.2">
      <c r="A297" s="7"/>
      <c r="B297" s="7"/>
      <c r="C297" s="14" t="s">
        <v>9</v>
      </c>
      <c r="D297" s="59"/>
      <c r="E297" s="25">
        <f>SUM(E293:E295)</f>
        <v>3</v>
      </c>
    </row>
    <row r="298" spans="1:5" x14ac:dyDescent="0.2">
      <c r="A298" s="7"/>
      <c r="B298" s="7"/>
      <c r="C298" s="14"/>
      <c r="D298" s="59"/>
      <c r="E298" s="25"/>
    </row>
    <row r="299" spans="1:5" x14ac:dyDescent="0.2">
      <c r="A299" s="10" t="s">
        <v>41</v>
      </c>
      <c r="B299" s="10" t="s">
        <v>42</v>
      </c>
      <c r="D299" s="5"/>
      <c r="E299" s="10"/>
    </row>
    <row r="300" spans="1:5" x14ac:dyDescent="0.2">
      <c r="A300" s="104" t="s">
        <v>161</v>
      </c>
      <c r="B300" s="104"/>
      <c r="C300" s="104"/>
      <c r="D300" s="104"/>
      <c r="E300" s="104"/>
    </row>
    <row r="301" spans="1:5" ht="17" x14ac:dyDescent="0.2">
      <c r="A301" s="11" t="s">
        <v>5</v>
      </c>
      <c r="B301" s="11" t="s">
        <v>393</v>
      </c>
      <c r="C301" s="12" t="s">
        <v>6</v>
      </c>
      <c r="D301" s="12" t="s">
        <v>143</v>
      </c>
      <c r="E301" s="11" t="s">
        <v>7</v>
      </c>
    </row>
    <row r="302" spans="1:5" ht="17" x14ac:dyDescent="0.2">
      <c r="A302" s="30"/>
      <c r="B302" s="30"/>
      <c r="C302" s="27" t="s">
        <v>2</v>
      </c>
      <c r="D302" s="35"/>
      <c r="E302" s="32"/>
    </row>
    <row r="303" spans="1:5" ht="51" x14ac:dyDescent="0.2">
      <c r="A303" s="44" t="s">
        <v>351</v>
      </c>
      <c r="B303" s="51" t="s">
        <v>347</v>
      </c>
      <c r="C303" s="52" t="s">
        <v>352</v>
      </c>
      <c r="D303" s="45">
        <v>2023</v>
      </c>
      <c r="E303" s="45">
        <v>1</v>
      </c>
    </row>
    <row r="304" spans="1:5" ht="34" x14ac:dyDescent="0.2">
      <c r="A304" s="44" t="s">
        <v>353</v>
      </c>
      <c r="B304" s="51" t="s">
        <v>354</v>
      </c>
      <c r="C304" s="52" t="s">
        <v>355</v>
      </c>
      <c r="D304" s="45">
        <v>2021</v>
      </c>
      <c r="E304" s="45">
        <v>1</v>
      </c>
    </row>
    <row r="305" spans="1:5" ht="34" x14ac:dyDescent="0.2">
      <c r="A305" s="44" t="s">
        <v>356</v>
      </c>
      <c r="B305" s="51" t="s">
        <v>357</v>
      </c>
      <c r="C305" s="52" t="s">
        <v>358</v>
      </c>
      <c r="D305" s="45">
        <v>2020</v>
      </c>
      <c r="E305" s="45">
        <v>3</v>
      </c>
    </row>
    <row r="306" spans="1:5" ht="34" x14ac:dyDescent="0.2">
      <c r="A306" s="44" t="s">
        <v>348</v>
      </c>
      <c r="B306" s="51" t="s">
        <v>349</v>
      </c>
      <c r="C306" s="52" t="s">
        <v>350</v>
      </c>
      <c r="D306" s="45">
        <v>2016</v>
      </c>
      <c r="E306" s="45">
        <v>2</v>
      </c>
    </row>
    <row r="307" spans="1:5" ht="17" x14ac:dyDescent="0.2">
      <c r="A307" s="7" t="s">
        <v>43</v>
      </c>
      <c r="B307" s="7"/>
      <c r="C307" s="14" t="s">
        <v>8</v>
      </c>
      <c r="D307" s="59"/>
      <c r="E307" s="1">
        <f>COUNT(E303:E306)</f>
        <v>4</v>
      </c>
    </row>
    <row r="308" spans="1:5" ht="17" x14ac:dyDescent="0.2">
      <c r="A308" s="7"/>
      <c r="B308" s="7"/>
      <c r="C308" s="14" t="s">
        <v>9</v>
      </c>
      <c r="D308" s="59"/>
      <c r="E308" s="25">
        <f>SUM(E303:E306)</f>
        <v>7</v>
      </c>
    </row>
    <row r="309" spans="1:5" x14ac:dyDescent="0.2">
      <c r="A309" s="7"/>
      <c r="B309" s="7"/>
      <c r="C309" s="14"/>
      <c r="D309" s="59"/>
      <c r="E309" s="9"/>
    </row>
    <row r="310" spans="1:5" x14ac:dyDescent="0.2">
      <c r="A310" s="10" t="s">
        <v>44</v>
      </c>
      <c r="B310" s="10" t="s">
        <v>45</v>
      </c>
      <c r="D310" s="5"/>
      <c r="E310" s="10"/>
    </row>
    <row r="311" spans="1:5" x14ac:dyDescent="0.2">
      <c r="A311" s="104" t="s">
        <v>155</v>
      </c>
      <c r="B311" s="104"/>
      <c r="C311" s="104"/>
      <c r="D311" s="104"/>
      <c r="E311" s="104"/>
    </row>
    <row r="312" spans="1:5" ht="17" x14ac:dyDescent="0.2">
      <c r="A312" s="11" t="s">
        <v>5</v>
      </c>
      <c r="B312" s="11" t="s">
        <v>393</v>
      </c>
      <c r="C312" s="12" t="s">
        <v>6</v>
      </c>
      <c r="D312" s="12" t="s">
        <v>143</v>
      </c>
      <c r="E312" s="11" t="s">
        <v>7</v>
      </c>
    </row>
    <row r="313" spans="1:5" ht="17" x14ac:dyDescent="0.2">
      <c r="A313" s="30"/>
      <c r="B313" s="30"/>
      <c r="C313" s="27" t="s">
        <v>2</v>
      </c>
      <c r="D313" s="35"/>
      <c r="E313" s="32"/>
    </row>
    <row r="314" spans="1:5" ht="34" x14ac:dyDescent="0.2">
      <c r="A314" s="51" t="s">
        <v>379</v>
      </c>
      <c r="B314" s="51" t="s">
        <v>367</v>
      </c>
      <c r="C314" s="52" t="s">
        <v>380</v>
      </c>
      <c r="D314" s="45">
        <v>2023</v>
      </c>
      <c r="E314" s="45">
        <v>3</v>
      </c>
    </row>
    <row r="315" spans="1:5" ht="51" x14ac:dyDescent="0.2">
      <c r="A315" s="51" t="s">
        <v>381</v>
      </c>
      <c r="B315" s="44" t="s">
        <v>346</v>
      </c>
      <c r="C315" s="52" t="s">
        <v>382</v>
      </c>
      <c r="D315" s="45">
        <v>2017</v>
      </c>
      <c r="E315" s="45">
        <v>4</v>
      </c>
    </row>
    <row r="316" spans="1:5" ht="17" x14ac:dyDescent="0.2">
      <c r="A316" s="7"/>
      <c r="B316" s="7"/>
      <c r="C316" s="14" t="s">
        <v>8</v>
      </c>
      <c r="D316" s="59"/>
      <c r="E316" s="6">
        <f>COUNT(E314:E315)</f>
        <v>2</v>
      </c>
    </row>
    <row r="317" spans="1:5" ht="17" x14ac:dyDescent="0.2">
      <c r="A317" s="7"/>
      <c r="B317" s="7"/>
      <c r="C317" s="14" t="s">
        <v>9</v>
      </c>
      <c r="D317" s="59"/>
      <c r="E317" s="53">
        <f>SUM(E314:E315)</f>
        <v>7</v>
      </c>
    </row>
    <row r="318" spans="1:5" x14ac:dyDescent="0.2">
      <c r="A318" s="7"/>
      <c r="B318" s="7"/>
      <c r="C318" s="14"/>
      <c r="D318" s="59"/>
      <c r="E318" s="53"/>
    </row>
    <row r="319" spans="1:5" x14ac:dyDescent="0.2">
      <c r="A319" s="10" t="s">
        <v>46</v>
      </c>
      <c r="B319" s="10" t="s">
        <v>47</v>
      </c>
      <c r="D319" s="5"/>
      <c r="E319" s="5"/>
    </row>
    <row r="320" spans="1:5" x14ac:dyDescent="0.2">
      <c r="A320" s="104" t="s">
        <v>167</v>
      </c>
      <c r="B320" s="104"/>
      <c r="C320" s="104"/>
      <c r="D320" s="104"/>
      <c r="E320" s="104"/>
    </row>
    <row r="321" spans="1:5" ht="17" x14ac:dyDescent="0.2">
      <c r="A321" s="11" t="s">
        <v>5</v>
      </c>
      <c r="B321" s="11" t="s">
        <v>393</v>
      </c>
      <c r="C321" s="12" t="s">
        <v>6</v>
      </c>
      <c r="D321" s="12" t="s">
        <v>143</v>
      </c>
      <c r="E321" s="11" t="s">
        <v>7</v>
      </c>
    </row>
    <row r="322" spans="1:5" ht="17" x14ac:dyDescent="0.2">
      <c r="A322" s="30"/>
      <c r="B322" s="30"/>
      <c r="C322" s="27" t="s">
        <v>2</v>
      </c>
      <c r="D322" s="35"/>
      <c r="E322" s="32"/>
    </row>
    <row r="323" spans="1:5" ht="34" x14ac:dyDescent="0.2">
      <c r="A323" s="46" t="s">
        <v>387</v>
      </c>
      <c r="B323" s="49" t="s">
        <v>386</v>
      </c>
      <c r="C323" s="49" t="s">
        <v>388</v>
      </c>
      <c r="D323" s="50">
        <v>2024</v>
      </c>
      <c r="E323" s="47">
        <v>3</v>
      </c>
    </row>
    <row r="324" spans="1:5" ht="17" x14ac:dyDescent="0.2">
      <c r="A324" s="7"/>
      <c r="B324" s="7"/>
      <c r="C324" s="14" t="s">
        <v>8</v>
      </c>
      <c r="D324" s="59"/>
      <c r="E324" s="1">
        <v>1</v>
      </c>
    </row>
    <row r="325" spans="1:5" ht="17" x14ac:dyDescent="0.2">
      <c r="A325" s="7"/>
      <c r="B325" s="7"/>
      <c r="C325" s="14" t="s">
        <v>9</v>
      </c>
      <c r="D325" s="59"/>
      <c r="E325" s="1">
        <v>1</v>
      </c>
    </row>
    <row r="326" spans="1:5" x14ac:dyDescent="0.2">
      <c r="A326" s="7"/>
      <c r="B326" s="7"/>
      <c r="C326" s="14"/>
      <c r="D326" s="59"/>
      <c r="E326" s="9"/>
    </row>
    <row r="327" spans="1:5" x14ac:dyDescent="0.2">
      <c r="A327" s="7"/>
      <c r="B327" s="7"/>
      <c r="C327" s="14"/>
      <c r="D327" s="59"/>
      <c r="E327" s="9"/>
    </row>
    <row r="328" spans="1:5" x14ac:dyDescent="0.2">
      <c r="A328" s="10" t="s">
        <v>48</v>
      </c>
      <c r="B328" s="10" t="s">
        <v>49</v>
      </c>
      <c r="D328" s="5"/>
      <c r="E328" s="10"/>
    </row>
    <row r="329" spans="1:5" x14ac:dyDescent="0.2">
      <c r="A329" s="104" t="s">
        <v>168</v>
      </c>
      <c r="B329" s="104"/>
      <c r="C329" s="104"/>
      <c r="D329" s="104"/>
      <c r="E329" s="104"/>
    </row>
    <row r="330" spans="1:5" ht="17" x14ac:dyDescent="0.2">
      <c r="A330" s="11" t="s">
        <v>5</v>
      </c>
      <c r="B330" s="11" t="s">
        <v>393</v>
      </c>
      <c r="C330" s="12" t="s">
        <v>6</v>
      </c>
      <c r="D330" s="12" t="s">
        <v>143</v>
      </c>
      <c r="E330" s="11" t="s">
        <v>7</v>
      </c>
    </row>
    <row r="331" spans="1:5" ht="17" x14ac:dyDescent="0.2">
      <c r="A331" s="30"/>
      <c r="B331" s="30"/>
      <c r="C331" s="27" t="s">
        <v>2</v>
      </c>
      <c r="D331" s="35"/>
      <c r="E331" s="32"/>
    </row>
    <row r="332" spans="1:5" ht="34" x14ac:dyDescent="0.2">
      <c r="A332" s="44" t="s">
        <v>353</v>
      </c>
      <c r="B332" s="44" t="s">
        <v>354</v>
      </c>
      <c r="C332" s="52" t="s">
        <v>355</v>
      </c>
      <c r="D332" s="45">
        <v>2021</v>
      </c>
      <c r="E332" s="45">
        <v>1</v>
      </c>
    </row>
    <row r="333" spans="1:5" ht="34" x14ac:dyDescent="0.2">
      <c r="A333" s="44" t="s">
        <v>356</v>
      </c>
      <c r="B333" s="44" t="s">
        <v>357</v>
      </c>
      <c r="C333" s="52" t="s">
        <v>358</v>
      </c>
      <c r="D333" s="45">
        <v>2020</v>
      </c>
      <c r="E333" s="45">
        <v>3</v>
      </c>
    </row>
    <row r="334" spans="1:5" ht="17" x14ac:dyDescent="0.2">
      <c r="A334" s="73" t="s">
        <v>425</v>
      </c>
      <c r="B334" s="7"/>
      <c r="C334" s="14" t="s">
        <v>8</v>
      </c>
      <c r="D334" s="59"/>
      <c r="E334" s="1">
        <f>COUNT(E332:E333)</f>
        <v>2</v>
      </c>
    </row>
    <row r="335" spans="1:5" ht="17" x14ac:dyDescent="0.2">
      <c r="A335" s="7"/>
      <c r="B335" s="7"/>
      <c r="C335" s="14" t="s">
        <v>9</v>
      </c>
      <c r="D335" s="59"/>
      <c r="E335" s="25">
        <f>SUM(E332:E333)</f>
        <v>4</v>
      </c>
    </row>
    <row r="336" spans="1:5" x14ac:dyDescent="0.2">
      <c r="A336" s="7"/>
      <c r="B336" s="7"/>
      <c r="C336" s="14"/>
      <c r="D336" s="59"/>
      <c r="E336" s="9"/>
    </row>
    <row r="337" spans="1:5" x14ac:dyDescent="0.2">
      <c r="A337" s="9"/>
      <c r="B337" s="9"/>
      <c r="C337" s="8"/>
      <c r="D337" s="6"/>
      <c r="E337" s="6"/>
    </row>
    <row r="338" spans="1:5" x14ac:dyDescent="0.2">
      <c r="A338" s="9"/>
      <c r="B338" s="9"/>
      <c r="C338" s="8"/>
      <c r="D338" s="6"/>
      <c r="E338" s="6"/>
    </row>
    <row r="339" spans="1:5" x14ac:dyDescent="0.2">
      <c r="A339" s="7" t="s">
        <v>50</v>
      </c>
      <c r="B339" s="7"/>
      <c r="C339" s="7"/>
      <c r="D339" s="6"/>
      <c r="E339" s="6"/>
    </row>
    <row r="340" spans="1:5" x14ac:dyDescent="0.2">
      <c r="A340" s="7"/>
      <c r="B340" s="7"/>
      <c r="C340" s="7"/>
      <c r="D340" s="6"/>
      <c r="E340" s="6"/>
    </row>
    <row r="341" spans="1:5" x14ac:dyDescent="0.2">
      <c r="A341" s="7"/>
      <c r="B341" s="7"/>
      <c r="C341" s="7"/>
      <c r="D341" s="6"/>
      <c r="E341" s="6"/>
    </row>
    <row r="342" spans="1:5" x14ac:dyDescent="0.2">
      <c r="A342" s="4" t="s">
        <v>261</v>
      </c>
      <c r="B342" s="4"/>
      <c r="C342" s="3"/>
      <c r="D342" s="1"/>
      <c r="E342" s="6"/>
    </row>
    <row r="343" spans="1:5" x14ac:dyDescent="0.2">
      <c r="A343" s="7" t="s">
        <v>260</v>
      </c>
      <c r="B343" s="7"/>
      <c r="D343" s="6"/>
      <c r="E343" s="6"/>
    </row>
    <row r="344" spans="1:5" x14ac:dyDescent="0.2">
      <c r="D344" s="62"/>
      <c r="E344" s="6"/>
    </row>
    <row r="345" spans="1:5" x14ac:dyDescent="0.2">
      <c r="A345" s="7"/>
      <c r="B345" s="7"/>
      <c r="C345" s="8"/>
      <c r="D345" s="62"/>
      <c r="E345" s="6"/>
    </row>
    <row r="346" spans="1:5" x14ac:dyDescent="0.2">
      <c r="A346" s="7"/>
      <c r="B346" s="7"/>
      <c r="C346" s="8"/>
      <c r="D346" s="62"/>
      <c r="E346" s="6"/>
    </row>
    <row r="347" spans="1:5" x14ac:dyDescent="0.2">
      <c r="A347" s="7"/>
      <c r="B347" s="7"/>
      <c r="C347" s="8"/>
      <c r="D347" s="62"/>
      <c r="E347" s="6"/>
    </row>
    <row r="348" spans="1:5" x14ac:dyDescent="0.2">
      <c r="A348" s="7"/>
      <c r="B348" s="7"/>
      <c r="D348" s="1"/>
      <c r="E348" s="6"/>
    </row>
    <row r="349" spans="1:5" x14ac:dyDescent="0.2">
      <c r="A349" s="7"/>
      <c r="B349" s="7"/>
      <c r="D349" s="6"/>
      <c r="E349" s="6"/>
    </row>
  </sheetData>
  <mergeCells count="27">
    <mergeCell ref="A10:E10"/>
    <mergeCell ref="A1:E1"/>
    <mergeCell ref="A2:E2"/>
    <mergeCell ref="A3:E3"/>
    <mergeCell ref="A6:E6"/>
    <mergeCell ref="A7:E7"/>
    <mergeCell ref="A179:E179"/>
    <mergeCell ref="A12:E12"/>
    <mergeCell ref="A31:E31"/>
    <mergeCell ref="A46:E46"/>
    <mergeCell ref="A57:E57"/>
    <mergeCell ref="A66:E66"/>
    <mergeCell ref="A76:E76"/>
    <mergeCell ref="A107:E107"/>
    <mergeCell ref="A130:E130"/>
    <mergeCell ref="A141:E141"/>
    <mergeCell ref="A159:E159"/>
    <mergeCell ref="A168:E168"/>
    <mergeCell ref="A311:E311"/>
    <mergeCell ref="A320:E320"/>
    <mergeCell ref="A329:E329"/>
    <mergeCell ref="A202:E202"/>
    <mergeCell ref="A223:E223"/>
    <mergeCell ref="A234:E234"/>
    <mergeCell ref="A259:E259"/>
    <mergeCell ref="A270:E270"/>
    <mergeCell ref="A300:E300"/>
  </mergeCells>
  <pageMargins left="0.25" right="0.25" top="1" bottom="0.5" header="0.5" footer="0.5"/>
  <pageSetup paperSize="20000" orientation="portrait" horizontalDpi="0" verticalDpi="0"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sum</vt:lpstr>
      <vt:lpstr>Sheet1</vt:lpstr>
      <vt:lpstr>sum!Print_Area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Joyce Banzuelo</dc:creator>
  <cp:lastModifiedBy>christian robert nalica</cp:lastModifiedBy>
  <cp:lastPrinted>2025-10-09T09:37:38Z</cp:lastPrinted>
  <dcterms:created xsi:type="dcterms:W3CDTF">2024-12-06T09:30:54Z</dcterms:created>
  <dcterms:modified xsi:type="dcterms:W3CDTF">2026-06-10T17:02:17Z</dcterms:modified>
</cp:coreProperties>
</file>